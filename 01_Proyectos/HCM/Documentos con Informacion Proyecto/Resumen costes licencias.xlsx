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daecc\Downloads\"/>
    </mc:Choice>
  </mc:AlternateContent>
  <xr:revisionPtr revIDLastSave="0" documentId="8_{43ED305D-1BF6-4261-B267-0409F73AC5D5}" xr6:coauthVersionLast="47" xr6:coauthVersionMax="47" xr10:uidLastSave="{00000000-0000-0000-0000-000000000000}"/>
  <bookViews>
    <workbookView xWindow="-120" yWindow="-120" windowWidth="29040" windowHeight="15720" xr2:uid="{C1375FD2-1103-46FB-8CDD-EE98D4945195}"/>
  </bookViews>
  <sheets>
    <sheet name="Resumen Cos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1" l="1"/>
  <c r="W18" i="1" s="1"/>
  <c r="K18" i="1"/>
  <c r="N18" i="1" s="1"/>
  <c r="W17" i="1"/>
  <c r="K17" i="1"/>
  <c r="O17" i="1" s="1"/>
  <c r="W16" i="1"/>
  <c r="W15" i="1"/>
  <c r="W14" i="1"/>
  <c r="W13" i="1"/>
  <c r="W12" i="1"/>
  <c r="W11" i="1"/>
  <c r="W10" i="1"/>
  <c r="O10" i="1"/>
  <c r="N10" i="1"/>
  <c r="AC9" i="1"/>
  <c r="W9" i="1"/>
  <c r="O9" i="1"/>
  <c r="N9" i="1"/>
  <c r="N17" i="1" l="1"/>
  <c r="O18" i="1"/>
</calcChain>
</file>

<file path=xl/sharedStrings.xml><?xml version="1.0" encoding="utf-8"?>
<sst xmlns="http://schemas.openxmlformats.org/spreadsheetml/2006/main" count="123" uniqueCount="84">
  <si>
    <t>DOSIER COSTES PROYECTO IMPLANTACION HCM CLOUD</t>
  </si>
  <si>
    <t>Escenario a 1 año</t>
  </si>
  <si>
    <r>
      <t>Detalle Licencias Usuarios</t>
    </r>
    <r>
      <rPr>
        <i/>
        <sz val="10"/>
        <color theme="1"/>
        <rFont val="Arial"/>
        <family val="2"/>
      </rPr>
      <t xml:space="preserve"> Datos Grupo: Interno = 2527 (Jornada completa (1319), jornada partcial (1208)), ETT = 49, Becas = 48, Externos = 2285</t>
    </r>
  </si>
  <si>
    <t>Tiempos implantación (V1)</t>
  </si>
  <si>
    <t>Tiempos implantación (V2)</t>
  </si>
  <si>
    <t>Total Implantación + Transformación (V1)</t>
  </si>
  <si>
    <t>Total Implantación + Transformación (V2)</t>
  </si>
  <si>
    <t>Comentarios</t>
  </si>
  <si>
    <t>Coste licencias Cloud Anual</t>
  </si>
  <si>
    <t>Escenario Coste implantacion inferior</t>
  </si>
  <si>
    <t>Escenario Coste implantacion superior</t>
  </si>
  <si>
    <r>
      <t>Total Costes</t>
    </r>
    <r>
      <rPr>
        <b/>
        <sz val="8"/>
        <color theme="0"/>
        <rFont val="Arial"/>
        <family val="2"/>
      </rPr>
      <t xml:space="preserve">  (Escenario Inferior)</t>
    </r>
  </si>
  <si>
    <r>
      <t>Total Costes</t>
    </r>
    <r>
      <rPr>
        <b/>
        <sz val="8"/>
        <color theme="0"/>
        <rFont val="Arial"/>
        <family val="2"/>
      </rPr>
      <t xml:space="preserve">  (Escenario Superior)</t>
    </r>
  </si>
  <si>
    <t>Modulo</t>
  </si>
  <si>
    <t>Metrica</t>
  </si>
  <si>
    <t>Usuarios</t>
  </si>
  <si>
    <t>Total</t>
  </si>
  <si>
    <t>Coste Licencia por usuario</t>
  </si>
  <si>
    <t>BNB  (Worday)</t>
  </si>
  <si>
    <t>15 Meses</t>
  </si>
  <si>
    <t>ORACLE</t>
  </si>
  <si>
    <t>HCM Basde Cloud Service</t>
  </si>
  <si>
    <t>Hosted Employee</t>
  </si>
  <si>
    <t>Workday</t>
  </si>
  <si>
    <t xml:space="preserve">FSE </t>
  </si>
  <si>
    <t>Fase 1: 8 meses</t>
  </si>
  <si>
    <t>WORKDAY</t>
  </si>
  <si>
    <t>Recruiting</t>
  </si>
  <si>
    <t>Fase 2: 7 Meses</t>
  </si>
  <si>
    <t>Help Desk</t>
  </si>
  <si>
    <t>Workforce Healt and Safety</t>
  </si>
  <si>
    <t>KPMG (Workday)</t>
  </si>
  <si>
    <t>23 Meses</t>
  </si>
  <si>
    <t>Escenario a 3 años</t>
  </si>
  <si>
    <t>Analytics</t>
  </si>
  <si>
    <t>Fase 1: 13 Meses</t>
  </si>
  <si>
    <t>Talent</t>
  </si>
  <si>
    <t xml:space="preserve">Hosted Named </t>
  </si>
  <si>
    <t>Fase2: 6 Meses</t>
  </si>
  <si>
    <t>Compensation</t>
  </si>
  <si>
    <t>Fase 3: 10 Meses</t>
  </si>
  <si>
    <t>Learning</t>
  </si>
  <si>
    <t>* Estándar</t>
  </si>
  <si>
    <t>Empleado con registro activo</t>
  </si>
  <si>
    <t>Time and Labor</t>
  </si>
  <si>
    <t>* Contingents</t>
  </si>
  <si>
    <t>No empleado con registro activo</t>
  </si>
  <si>
    <t>Deloitte (Wotrkday)</t>
  </si>
  <si>
    <t>14 Meses</t>
  </si>
  <si>
    <t>ORACLE HCM</t>
  </si>
  <si>
    <t>-</t>
  </si>
  <si>
    <t>* Labor/Service</t>
  </si>
  <si>
    <t>Fase 1: 8 Meses</t>
  </si>
  <si>
    <t>* Hosted Empleyee</t>
  </si>
  <si>
    <t>Todo los usuairos de cualquier tipo con acceso, uso o esten registrados por los programas</t>
  </si>
  <si>
    <t>Fase 2: 5,5 Meses</t>
  </si>
  <si>
    <t>* Hosted name user</t>
  </si>
  <si>
    <t>Usuario autorizado para acceder al servicio provisto</t>
  </si>
  <si>
    <t>MOTIVA &amp; KPMG (Oracle)</t>
  </si>
  <si>
    <t>27 Meses</t>
  </si>
  <si>
    <t>20 Meses</t>
  </si>
  <si>
    <t>Fase 1:8 Meses</t>
  </si>
  <si>
    <t>Fase 2: 10 Meses (Solape Tiempos F1)</t>
  </si>
  <si>
    <t>Fase 2: 8 Meses (Solape Tiempos F1)</t>
  </si>
  <si>
    <t>Comparativa General Plataformas</t>
  </si>
  <si>
    <t>Fase 3: 9 Meses (Solape Tiempos F2)</t>
  </si>
  <si>
    <t>Fase 3: 5 Meses (Solape Tiempos F2)</t>
  </si>
  <si>
    <t>Cobertura Funcional</t>
  </si>
  <si>
    <t>Coste Licencias      (1er año)</t>
  </si>
  <si>
    <t>Coste Licencias        (3 años)</t>
  </si>
  <si>
    <t>Nivel de Riesgo en Migración</t>
  </si>
  <si>
    <t>Deloitte (Oracle)</t>
  </si>
  <si>
    <t>ORACLE HCM CLOUD</t>
  </si>
  <si>
    <t>Bajo (Continuidad natural)</t>
  </si>
  <si>
    <t>Alta (Ruptura de modelo)</t>
  </si>
  <si>
    <t>Oracle Consulting (Oracle)</t>
  </si>
  <si>
    <t>24 Meses</t>
  </si>
  <si>
    <t>11 Meses</t>
  </si>
  <si>
    <t>SAP Succesfactor</t>
  </si>
  <si>
    <t>Muy Alto (Defensa deficiente)</t>
  </si>
  <si>
    <t>Fase 1: 9meses</t>
  </si>
  <si>
    <t>Implantacion Modo "Big Bag"                                                                                                                                                                                                                                                                                                                                                                                                                                                                                                         todos los 
módulos de Oracle HCM Cloud entrarán en funcionamiento de forma simultánea al final del mes décimo del proyecto</t>
  </si>
  <si>
    <t>Fase 2: 15 meses</t>
  </si>
  <si>
    <t>Coste Proyecto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</si>
</sst>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_€"/>
    <numFmt numFmtId="165" formatCode="#,##0\ &quot;€&quot;"/>
    <numFmt numFmtId="166" formatCode="_-* #,##0_-;\-* #,##0_-;_-* &quot;-&quot;??_-;_-@_-"/>
    <numFmt numFmtId="167" formatCode="_-* #,##0\ &quot;€&quot;_-;\-* #,##0\ &quot;€&quot;_-;_-* &quot;-&quot;??\ &quot;€&quot;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0"/>
      <name val="Arial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C00000"/>
        <bgColor rgb="FF8DB3E2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8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164" fontId="3" fillId="4" borderId="0" xfId="0" applyNumberFormat="1" applyFont="1" applyFill="1"/>
    <xf numFmtId="164" fontId="2" fillId="4" borderId="0" xfId="0" applyNumberFormat="1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7" fillId="6" borderId="1" xfId="4" applyFont="1" applyFill="1" applyBorder="1" applyAlignment="1">
      <alignment horizontal="center" vertical="center" wrapText="1"/>
    </xf>
    <xf numFmtId="0" fontId="7" fillId="6" borderId="2" xfId="4" applyFont="1" applyFill="1" applyBorder="1" applyAlignment="1">
      <alignment horizontal="center" vertical="center" wrapText="1"/>
    </xf>
    <xf numFmtId="0" fontId="7" fillId="6" borderId="3" xfId="4" applyFont="1" applyFill="1" applyBorder="1" applyAlignment="1">
      <alignment horizontal="center" vertical="center" wrapText="1"/>
    </xf>
    <xf numFmtId="0" fontId="7" fillId="6" borderId="4" xfId="4" applyFont="1" applyFill="1" applyBorder="1" applyAlignment="1">
      <alignment horizontal="center" vertical="center" wrapText="1"/>
    </xf>
    <xf numFmtId="0" fontId="7" fillId="6" borderId="5" xfId="4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42" fontId="2" fillId="0" borderId="1" xfId="2" applyNumberFormat="1" applyFont="1" applyBorder="1" applyAlignment="1">
      <alignment horizontal="center" vertical="center"/>
    </xf>
    <xf numFmtId="42" fontId="2" fillId="4" borderId="7" xfId="2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/>
    <xf numFmtId="165" fontId="2" fillId="4" borderId="1" xfId="2" applyNumberFormat="1" applyFont="1" applyFill="1" applyBorder="1"/>
    <xf numFmtId="165" fontId="10" fillId="4" borderId="1" xfId="0" applyNumberFormat="1" applyFont="1" applyFill="1" applyBorder="1"/>
    <xf numFmtId="164" fontId="2" fillId="4" borderId="1" xfId="0" applyNumberFormat="1" applyFont="1" applyFill="1" applyBorder="1" applyAlignment="1">
      <alignment horizontal="center" vertical="center"/>
    </xf>
    <xf numFmtId="3" fontId="2" fillId="4" borderId="1" xfId="2" applyNumberFormat="1" applyFont="1" applyFill="1" applyBorder="1"/>
    <xf numFmtId="0" fontId="10" fillId="4" borderId="1" xfId="0" applyFont="1" applyFill="1" applyBorder="1" applyAlignment="1">
      <alignment vertical="center"/>
    </xf>
    <xf numFmtId="166" fontId="10" fillId="4" borderId="1" xfId="1" applyNumberFormat="1" applyFont="1" applyFill="1" applyBorder="1" applyAlignment="1">
      <alignment vertical="center"/>
    </xf>
    <xf numFmtId="167" fontId="10" fillId="4" borderId="1" xfId="2" applyNumberFormat="1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4" borderId="9" xfId="2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2" fontId="2" fillId="4" borderId="11" xfId="2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6" borderId="0" xfId="4" applyFont="1" applyFill="1" applyAlignment="1">
      <alignment horizontal="center" vertical="center" wrapText="1"/>
    </xf>
    <xf numFmtId="0" fontId="7" fillId="6" borderId="15" xfId="4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center"/>
    </xf>
    <xf numFmtId="0" fontId="11" fillId="4" borderId="0" xfId="0" applyFont="1" applyFill="1"/>
    <xf numFmtId="0" fontId="2" fillId="0" borderId="0" xfId="0" applyFont="1"/>
    <xf numFmtId="0" fontId="2" fillId="4" borderId="16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10" fillId="4" borderId="1" xfId="2" applyNumberFormat="1" applyFont="1" applyFill="1" applyBorder="1" applyAlignment="1">
      <alignment vertical="center"/>
    </xf>
    <xf numFmtId="3" fontId="10" fillId="4" borderId="1" xfId="2" applyNumberFormat="1" applyFont="1" applyFill="1" applyBorder="1" applyAlignment="1">
      <alignment vertical="center"/>
    </xf>
    <xf numFmtId="0" fontId="2" fillId="8" borderId="0" xfId="0" applyFont="1" applyFill="1"/>
    <xf numFmtId="0" fontId="2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2" fillId="4" borderId="15" xfId="0" applyFont="1" applyFill="1" applyBorder="1" applyAlignment="1">
      <alignment horizontal="center" vertical="center"/>
    </xf>
    <xf numFmtId="164" fontId="2" fillId="4" borderId="0" xfId="0" applyNumberFormat="1" applyFont="1" applyFill="1" applyAlignment="1">
      <alignment vertical="center"/>
    </xf>
    <xf numFmtId="3" fontId="2" fillId="4" borderId="0" xfId="2" applyNumberFormat="1" applyFont="1" applyFill="1" applyBorder="1"/>
    <xf numFmtId="165" fontId="2" fillId="4" borderId="0" xfId="2" applyNumberFormat="1" applyFont="1" applyFill="1" applyBorder="1"/>
    <xf numFmtId="0" fontId="2" fillId="9" borderId="14" xfId="0" applyFont="1" applyFill="1" applyBorder="1" applyAlignment="1">
      <alignment horizontal="center" vertical="center"/>
    </xf>
    <xf numFmtId="44" fontId="2" fillId="4" borderId="1" xfId="2" applyFont="1" applyFill="1" applyBorder="1" applyAlignment="1">
      <alignment horizontal="center" vertical="center"/>
    </xf>
    <xf numFmtId="9" fontId="2" fillId="4" borderId="1" xfId="3" applyFont="1" applyFill="1" applyBorder="1"/>
    <xf numFmtId="165" fontId="2" fillId="4" borderId="1" xfId="0" applyNumberFormat="1" applyFont="1" applyFill="1" applyBorder="1" applyAlignment="1">
      <alignment horizontal="right"/>
    </xf>
    <xf numFmtId="0" fontId="0" fillId="3" borderId="13" xfId="0" applyFill="1" applyBorder="1"/>
    <xf numFmtId="0" fontId="12" fillId="4" borderId="7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/>
    </xf>
    <xf numFmtId="0" fontId="0" fillId="3" borderId="14" xfId="0" applyFill="1" applyBorder="1"/>
    <xf numFmtId="0" fontId="5" fillId="10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</cellXfs>
  <cellStyles count="5">
    <cellStyle name="Millares" xfId="1" builtinId="3"/>
    <cellStyle name="Moneda" xfId="2" builtinId="4"/>
    <cellStyle name="Normal" xfId="0" builtinId="0"/>
    <cellStyle name="Normal 2" xfId="4" xr:uid="{344F6A10-8855-4FC4-B403-326B8D3C1ACC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519319</xdr:colOff>
      <xdr:row>0</xdr:row>
      <xdr:rowOff>25676</xdr:rowOff>
    </xdr:from>
    <xdr:to>
      <xdr:col>0</xdr:col>
      <xdr:colOff>1363436</xdr:colOff>
      <xdr:row>4</xdr:row>
      <xdr:rowOff>77483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FFA8BB-3716-41B1-B750-13D7BF2A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319" y="25676"/>
          <a:ext cx="844117" cy="737607"/>
        </a:xfrm>
        <a:prstGeom prst="rect">
          <a:avLst/>
        </a:prstGeom>
      </xdr:spPr>
    </xdr:pic>
    <xdr:clientData/>
  </xdr:twoCellAnchor>
  <xdr:twoCellAnchor editAs="oneCell">
    <xdr:from>
      <xdr:col>23</xdr:col>
      <xdr:colOff>679174</xdr:colOff>
      <xdr:row>9</xdr:row>
      <xdr:rowOff>212803</xdr:rowOff>
    </xdr:from>
    <xdr:to>
      <xdr:col>30</xdr:col>
      <xdr:colOff>183578</xdr:colOff>
      <xdr:row>14</xdr:row>
      <xdr:rowOff>207991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022F7C-75CF-4C96-B621-906C19CF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939474" y="2336878"/>
          <a:ext cx="5209879" cy="1185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6DB8-91EA-46F2-8811-88CAEDBB97A1}">
  <dimension ref="A1:AR170"/>
  <sheetViews>
    <sheetView tabSelected="1" topLeftCell="A6" zoomScaleNormal="100" workbookViewId="0">
      <selection activeCell="C32" sqref="C32:C33"/>
    </sheetView>
  </sheetViews>
  <sheetFormatPr baseColWidth="10" defaultColWidth="11.42578125" defaultRowHeight="12" x14ac:dyDescent="0.2"/>
  <cols>
    <col min="1" max="1" width="26.42578125" style="44" bestFit="1" customWidth="1"/>
    <col min="2" max="3" width="34.85546875" style="66" customWidth="1"/>
    <col min="4" max="4" width="21.28515625" style="67" hidden="1" customWidth="1"/>
    <col min="5" max="5" width="20.7109375" style="7" customWidth="1"/>
    <col min="6" max="6" width="24.28515625" style="44" hidden="1" customWidth="1"/>
    <col min="7" max="7" width="0" style="4" hidden="1" customWidth="1"/>
    <col min="8" max="9" width="11.42578125" style="4"/>
    <col min="10" max="10" width="21.85546875" style="4" customWidth="1"/>
    <col min="11" max="11" width="20.7109375" style="4" customWidth="1"/>
    <col min="12" max="13" width="19.7109375" style="4" customWidth="1"/>
    <col min="14" max="14" width="23.42578125" style="4" customWidth="1"/>
    <col min="15" max="15" width="19.7109375" style="4" customWidth="1"/>
    <col min="16" max="18" width="11.42578125" style="4"/>
    <col min="19" max="19" width="24.85546875" style="4" customWidth="1"/>
    <col min="20" max="20" width="16.42578125" style="4" customWidth="1"/>
    <col min="21" max="21" width="12.5703125" style="4" bestFit="1" customWidth="1"/>
    <col min="22" max="22" width="11.42578125" style="4"/>
    <col min="23" max="23" width="14.42578125" style="4" customWidth="1"/>
    <col min="24" max="28" width="11.42578125" style="4"/>
    <col min="29" max="29" width="17" style="4" customWidth="1"/>
    <col min="30" max="44" width="11.42578125" style="4"/>
    <col min="45" max="16384" width="11.42578125" style="44"/>
  </cols>
  <sheetData>
    <row r="1" spans="1:29" s="4" customFormat="1" ht="8.25" customHeight="1" x14ac:dyDescent="0.25">
      <c r="A1" s="1"/>
      <c r="B1" s="2"/>
      <c r="C1" s="2"/>
      <c r="D1" s="2"/>
      <c r="E1" s="2"/>
      <c r="F1" s="2"/>
      <c r="G1" s="3"/>
      <c r="H1" s="3"/>
      <c r="I1" s="3"/>
      <c r="J1" s="3"/>
      <c r="K1" s="2"/>
      <c r="L1" s="2"/>
      <c r="M1" s="2"/>
      <c r="N1" s="3"/>
      <c r="O1" s="3"/>
    </row>
    <row r="2" spans="1:29" s="4" customFormat="1" ht="15" x14ac:dyDescent="0.25">
      <c r="B2" s="5"/>
      <c r="C2" s="5"/>
      <c r="D2" s="6"/>
      <c r="E2" s="6"/>
    </row>
    <row r="3" spans="1:29" s="4" customFormat="1" ht="15" x14ac:dyDescent="0.25">
      <c r="B3" s="6" t="s">
        <v>0</v>
      </c>
      <c r="C3" s="6"/>
    </row>
    <row r="4" spans="1:29" s="4" customFormat="1" ht="15.75" customHeight="1" x14ac:dyDescent="0.2">
      <c r="B4" s="5"/>
      <c r="C4" s="5"/>
      <c r="D4" s="7"/>
      <c r="E4" s="7"/>
    </row>
    <row r="5" spans="1:29" s="4" customFormat="1" ht="7.5" customHeight="1" x14ac:dyDescent="0.25">
      <c r="A5" s="1"/>
      <c r="B5" s="2"/>
      <c r="C5" s="2"/>
      <c r="D5" s="2"/>
      <c r="E5" s="2"/>
      <c r="F5" s="2"/>
      <c r="G5" s="3"/>
      <c r="H5" s="3"/>
      <c r="I5" s="3"/>
      <c r="J5" s="3"/>
      <c r="K5" s="2"/>
      <c r="L5" s="2"/>
      <c r="M5" s="2"/>
      <c r="N5" s="3"/>
      <c r="O5" s="3"/>
    </row>
    <row r="6" spans="1:29" s="4" customFormat="1" ht="31.5" customHeight="1" x14ac:dyDescent="0.25">
      <c r="A6" s="8"/>
      <c r="B6" s="8"/>
      <c r="C6" s="8"/>
      <c r="D6" s="8"/>
      <c r="E6" s="8"/>
      <c r="F6" s="8"/>
      <c r="G6" s="9"/>
      <c r="H6" s="9"/>
      <c r="I6" s="9"/>
      <c r="J6" s="6" t="s">
        <v>1</v>
      </c>
      <c r="K6" s="8"/>
      <c r="L6" s="8"/>
      <c r="M6" s="8"/>
      <c r="N6" s="9"/>
      <c r="O6" s="9"/>
      <c r="R6" s="6" t="s">
        <v>2</v>
      </c>
    </row>
    <row r="7" spans="1:29" s="4" customFormat="1" ht="7.5" customHeight="1" x14ac:dyDescent="0.2">
      <c r="B7" s="5"/>
      <c r="C7" s="5"/>
      <c r="D7" s="7"/>
      <c r="E7" s="7"/>
    </row>
    <row r="8" spans="1:29" ht="48" customHeight="1" x14ac:dyDescent="0.2">
      <c r="A8" s="10"/>
      <c r="B8" s="11" t="s">
        <v>3</v>
      </c>
      <c r="C8" s="11" t="s">
        <v>4</v>
      </c>
      <c r="D8" s="11" t="s">
        <v>5</v>
      </c>
      <c r="E8" s="11" t="s">
        <v>6</v>
      </c>
      <c r="F8" s="12" t="s">
        <v>7</v>
      </c>
      <c r="G8" s="13"/>
      <c r="K8" s="14" t="s">
        <v>8</v>
      </c>
      <c r="L8" s="14" t="s">
        <v>9</v>
      </c>
      <c r="M8" s="14" t="s">
        <v>10</v>
      </c>
      <c r="N8" s="14" t="s">
        <v>11</v>
      </c>
      <c r="O8" s="14" t="s">
        <v>12</v>
      </c>
      <c r="S8" s="14" t="s">
        <v>13</v>
      </c>
      <c r="T8" s="14" t="s">
        <v>14</v>
      </c>
      <c r="U8" s="14" t="s">
        <v>15</v>
      </c>
      <c r="V8" s="14" t="s">
        <v>16</v>
      </c>
      <c r="W8" s="14" t="s">
        <v>17</v>
      </c>
      <c r="Y8" s="15" t="s">
        <v>13</v>
      </c>
      <c r="Z8" s="15" t="s">
        <v>14</v>
      </c>
      <c r="AA8" s="15" t="s">
        <v>15</v>
      </c>
      <c r="AB8" s="15" t="s">
        <v>16</v>
      </c>
      <c r="AC8" s="15" t="s">
        <v>17</v>
      </c>
    </row>
    <row r="9" spans="1:29" ht="18.75" customHeight="1" x14ac:dyDescent="0.2">
      <c r="A9" s="16" t="s">
        <v>18</v>
      </c>
      <c r="B9" s="17" t="s">
        <v>19</v>
      </c>
      <c r="C9" s="17" t="s">
        <v>19</v>
      </c>
      <c r="D9" s="18">
        <v>919126</v>
      </c>
      <c r="E9" s="19">
        <v>863240</v>
      </c>
      <c r="F9" s="20"/>
      <c r="G9" s="20"/>
      <c r="J9" s="21" t="s">
        <v>20</v>
      </c>
      <c r="K9" s="22">
        <v>269000</v>
      </c>
      <c r="L9" s="22">
        <v>808667</v>
      </c>
      <c r="M9" s="22">
        <v>1229000</v>
      </c>
      <c r="N9" s="23">
        <f>K9+L9</f>
        <v>1077667</v>
      </c>
      <c r="O9" s="23">
        <f>K9+M9</f>
        <v>1498000</v>
      </c>
      <c r="R9" s="24" t="s">
        <v>20</v>
      </c>
      <c r="S9" s="22" t="s">
        <v>21</v>
      </c>
      <c r="T9" s="22" t="s">
        <v>22</v>
      </c>
      <c r="U9" s="25">
        <v>2527</v>
      </c>
      <c r="V9" s="22">
        <v>76144</v>
      </c>
      <c r="W9" s="22">
        <f>V9/U9</f>
        <v>30.132172536604671</v>
      </c>
      <c r="Y9" s="26" t="s">
        <v>23</v>
      </c>
      <c r="Z9" s="26" t="s">
        <v>24</v>
      </c>
      <c r="AA9" s="27">
        <v>2209</v>
      </c>
      <c r="AB9" s="28">
        <v>501378</v>
      </c>
      <c r="AC9" s="28">
        <f>AB9/AA9</f>
        <v>226.97057492077863</v>
      </c>
    </row>
    <row r="10" spans="1:29" ht="18.75" customHeight="1" x14ac:dyDescent="0.2">
      <c r="A10" s="29"/>
      <c r="B10" s="30" t="s">
        <v>25</v>
      </c>
      <c r="C10" s="30" t="s">
        <v>25</v>
      </c>
      <c r="D10" s="18"/>
      <c r="E10" s="31"/>
      <c r="F10" s="20"/>
      <c r="G10" s="20"/>
      <c r="J10" s="21" t="s">
        <v>26</v>
      </c>
      <c r="K10" s="22">
        <v>501000</v>
      </c>
      <c r="L10" s="22">
        <v>863240</v>
      </c>
      <c r="M10" s="22">
        <v>1100000</v>
      </c>
      <c r="N10" s="23">
        <f>K10+L10</f>
        <v>1364240</v>
      </c>
      <c r="O10" s="23">
        <f>K10+M10</f>
        <v>1601000</v>
      </c>
      <c r="R10" s="24"/>
      <c r="S10" s="22" t="s">
        <v>27</v>
      </c>
      <c r="T10" s="22" t="s">
        <v>22</v>
      </c>
      <c r="U10" s="25">
        <v>2527</v>
      </c>
      <c r="V10" s="22">
        <v>40610</v>
      </c>
      <c r="W10" s="22">
        <f t="shared" ref="W10:W18" si="0">V10/U10</f>
        <v>16.070439256034824</v>
      </c>
    </row>
    <row r="11" spans="1:29" ht="18.75" customHeight="1" x14ac:dyDescent="0.2">
      <c r="A11" s="32"/>
      <c r="B11" s="30" t="s">
        <v>28</v>
      </c>
      <c r="C11" s="30" t="s">
        <v>28</v>
      </c>
      <c r="D11" s="18"/>
      <c r="E11" s="33"/>
      <c r="F11" s="20"/>
      <c r="G11" s="20"/>
      <c r="R11" s="24"/>
      <c r="S11" s="22" t="s">
        <v>29</v>
      </c>
      <c r="T11" s="22" t="s">
        <v>22</v>
      </c>
      <c r="U11" s="25">
        <v>2527</v>
      </c>
      <c r="V11" s="22">
        <v>20305</v>
      </c>
      <c r="W11" s="22">
        <f t="shared" si="0"/>
        <v>8.035219628017412</v>
      </c>
    </row>
    <row r="12" spans="1:29" ht="18.75" customHeight="1" x14ac:dyDescent="0.25">
      <c r="A12" s="2"/>
      <c r="B12" s="34"/>
      <c r="C12" s="34"/>
      <c r="D12" s="34"/>
      <c r="E12" s="34"/>
      <c r="F12" s="35"/>
      <c r="G12" s="36"/>
      <c r="R12" s="24"/>
      <c r="S12" s="22" t="s">
        <v>30</v>
      </c>
      <c r="T12" s="22" t="s">
        <v>22</v>
      </c>
      <c r="U12" s="25">
        <v>2527</v>
      </c>
      <c r="V12" s="22">
        <v>10152</v>
      </c>
      <c r="W12" s="22">
        <f t="shared" si="0"/>
        <v>4.0174119509299562</v>
      </c>
    </row>
    <row r="13" spans="1:29" ht="18.75" customHeight="1" x14ac:dyDescent="0.25">
      <c r="A13" s="37" t="s">
        <v>31</v>
      </c>
      <c r="B13" s="17" t="s">
        <v>32</v>
      </c>
      <c r="C13" s="17" t="s">
        <v>32</v>
      </c>
      <c r="D13" s="18">
        <v>1100000</v>
      </c>
      <c r="E13" s="18">
        <v>1100000</v>
      </c>
      <c r="F13" s="38"/>
      <c r="G13" s="38"/>
      <c r="J13" s="6" t="s">
        <v>33</v>
      </c>
      <c r="R13" s="24"/>
      <c r="S13" s="22" t="s">
        <v>34</v>
      </c>
      <c r="T13" s="22" t="s">
        <v>22</v>
      </c>
      <c r="U13" s="25">
        <v>2527</v>
      </c>
      <c r="V13" s="22">
        <v>25381</v>
      </c>
      <c r="W13" s="22">
        <f t="shared" si="0"/>
        <v>10.043925603482391</v>
      </c>
    </row>
    <row r="14" spans="1:29" ht="18.75" customHeight="1" x14ac:dyDescent="0.2">
      <c r="A14" s="37"/>
      <c r="B14" s="39" t="s">
        <v>35</v>
      </c>
      <c r="C14" s="39" t="s">
        <v>35</v>
      </c>
      <c r="D14" s="18"/>
      <c r="E14" s="18"/>
      <c r="F14" s="38"/>
      <c r="G14" s="38"/>
      <c r="K14" s="40" t="s">
        <v>8</v>
      </c>
      <c r="L14" s="40" t="s">
        <v>9</v>
      </c>
      <c r="M14" s="40" t="s">
        <v>10</v>
      </c>
      <c r="N14" s="40" t="s">
        <v>11</v>
      </c>
      <c r="O14" s="40" t="s">
        <v>12</v>
      </c>
      <c r="R14" s="24"/>
      <c r="S14" s="22" t="s">
        <v>36</v>
      </c>
      <c r="T14" s="22" t="s">
        <v>37</v>
      </c>
      <c r="U14" s="25">
        <v>2527</v>
      </c>
      <c r="V14" s="22">
        <v>35534</v>
      </c>
      <c r="W14" s="22">
        <f t="shared" si="0"/>
        <v>14.061733280569845</v>
      </c>
    </row>
    <row r="15" spans="1:29" ht="18.75" customHeight="1" x14ac:dyDescent="0.2">
      <c r="A15" s="37"/>
      <c r="B15" s="39" t="s">
        <v>38</v>
      </c>
      <c r="C15" s="39" t="s">
        <v>38</v>
      </c>
      <c r="D15" s="18"/>
      <c r="E15" s="18"/>
      <c r="F15" s="38"/>
      <c r="G15" s="38"/>
      <c r="K15" s="40"/>
      <c r="L15" s="40"/>
      <c r="M15" s="40"/>
      <c r="N15" s="40"/>
      <c r="O15" s="40"/>
      <c r="R15" s="24"/>
      <c r="S15" s="22" t="s">
        <v>39</v>
      </c>
      <c r="T15" s="22" t="s">
        <v>37</v>
      </c>
      <c r="U15" s="25">
        <v>2527</v>
      </c>
      <c r="V15" s="22">
        <v>20305</v>
      </c>
      <c r="W15" s="22">
        <f t="shared" si="0"/>
        <v>8.035219628017412</v>
      </c>
    </row>
    <row r="16" spans="1:29" ht="18.75" customHeight="1" x14ac:dyDescent="0.2">
      <c r="A16" s="37"/>
      <c r="B16" s="39" t="s">
        <v>40</v>
      </c>
      <c r="C16" s="39" t="s">
        <v>40</v>
      </c>
      <c r="D16" s="18"/>
      <c r="E16" s="18"/>
      <c r="F16" s="38"/>
      <c r="G16" s="38"/>
      <c r="K16" s="41"/>
      <c r="L16" s="41"/>
      <c r="M16" s="41"/>
      <c r="N16" s="41"/>
      <c r="O16" s="41"/>
      <c r="R16" s="24"/>
      <c r="S16" s="22" t="s">
        <v>41</v>
      </c>
      <c r="T16" s="22" t="s">
        <v>37</v>
      </c>
      <c r="U16" s="25">
        <v>2527</v>
      </c>
      <c r="V16" s="22">
        <v>25381</v>
      </c>
      <c r="W16" s="22">
        <f t="shared" si="0"/>
        <v>10.043925603482391</v>
      </c>
      <c r="Y16" s="42" t="s">
        <v>42</v>
      </c>
      <c r="Z16" s="42" t="s">
        <v>43</v>
      </c>
      <c r="AA16" s="43"/>
    </row>
    <row r="17" spans="1:44" ht="15" customHeight="1" x14ac:dyDescent="0.25">
      <c r="A17" s="2"/>
      <c r="B17" s="34"/>
      <c r="C17" s="34"/>
      <c r="D17" s="34"/>
      <c r="E17" s="34"/>
      <c r="F17" s="35"/>
      <c r="G17" s="36"/>
      <c r="J17" s="21" t="s">
        <v>20</v>
      </c>
      <c r="K17" s="22">
        <f>269000*3</f>
        <v>807000</v>
      </c>
      <c r="L17" s="22">
        <v>808667</v>
      </c>
      <c r="M17" s="22">
        <v>1229000</v>
      </c>
      <c r="N17" s="23">
        <f>K17+L17</f>
        <v>1615667</v>
      </c>
      <c r="O17" s="23">
        <f>K17+M17</f>
        <v>2036000</v>
      </c>
      <c r="R17" s="24"/>
      <c r="S17" s="22" t="s">
        <v>44</v>
      </c>
      <c r="T17" s="22" t="s">
        <v>37</v>
      </c>
      <c r="U17" s="25">
        <v>2527</v>
      </c>
      <c r="V17" s="22">
        <v>15229</v>
      </c>
      <c r="W17" s="22">
        <f t="shared" si="0"/>
        <v>6.0265136525524339</v>
      </c>
      <c r="Y17" s="42" t="s">
        <v>45</v>
      </c>
      <c r="Z17" s="42" t="s">
        <v>46</v>
      </c>
      <c r="AA17" s="43"/>
    </row>
    <row r="18" spans="1:44" s="50" customFormat="1" ht="20.25" customHeight="1" x14ac:dyDescent="0.2">
      <c r="A18" s="45" t="s">
        <v>47</v>
      </c>
      <c r="B18" s="46" t="s">
        <v>48</v>
      </c>
      <c r="C18" s="46" t="s">
        <v>48</v>
      </c>
      <c r="D18" s="18">
        <v>1020280</v>
      </c>
      <c r="E18" s="18">
        <v>968000</v>
      </c>
      <c r="F18" s="47"/>
      <c r="G18" s="47"/>
      <c r="H18" s="4"/>
      <c r="I18" s="4"/>
      <c r="J18" s="21" t="s">
        <v>26</v>
      </c>
      <c r="K18" s="22">
        <f>501000*3</f>
        <v>1503000</v>
      </c>
      <c r="L18" s="22">
        <v>863240</v>
      </c>
      <c r="M18" s="22">
        <v>1100000</v>
      </c>
      <c r="N18" s="23">
        <f>K18+L18</f>
        <v>2366240</v>
      </c>
      <c r="O18" s="23">
        <f>K18+M18</f>
        <v>2603000</v>
      </c>
      <c r="P18" s="4"/>
      <c r="Q18" s="4"/>
      <c r="R18" s="24"/>
      <c r="S18" s="48" t="s">
        <v>49</v>
      </c>
      <c r="T18" s="48" t="s">
        <v>50</v>
      </c>
      <c r="U18" s="49">
        <v>2527</v>
      </c>
      <c r="V18" s="48">
        <f>SUM(V9:V17)</f>
        <v>269041</v>
      </c>
      <c r="W18" s="48">
        <f t="shared" si="0"/>
        <v>106.46656113969134</v>
      </c>
      <c r="X18" s="4"/>
      <c r="Y18" s="42" t="s">
        <v>51</v>
      </c>
      <c r="Z18" s="42" t="s">
        <v>43</v>
      </c>
      <c r="AA18" s="43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s="50" customFormat="1" ht="15" customHeight="1" x14ac:dyDescent="0.2">
      <c r="A19" s="51"/>
      <c r="B19" s="30" t="s">
        <v>52</v>
      </c>
      <c r="C19" s="30" t="s">
        <v>52</v>
      </c>
      <c r="D19" s="18"/>
      <c r="E19" s="18"/>
      <c r="F19" s="47"/>
      <c r="G19" s="4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2" t="s">
        <v>53</v>
      </c>
      <c r="T19" s="52" t="s">
        <v>54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s="50" customFormat="1" ht="14.25" customHeight="1" x14ac:dyDescent="0.2">
      <c r="A20" s="53"/>
      <c r="B20" s="30" t="s">
        <v>55</v>
      </c>
      <c r="C20" s="30" t="s">
        <v>55</v>
      </c>
      <c r="D20" s="18"/>
      <c r="E20" s="18"/>
      <c r="F20" s="47"/>
      <c r="G20" s="47"/>
      <c r="H20" s="4"/>
      <c r="I20" s="4"/>
      <c r="J20" s="4"/>
      <c r="K20" s="4"/>
      <c r="L20" s="4"/>
      <c r="M20" s="4"/>
      <c r="N20" s="4"/>
      <c r="O20" s="4"/>
      <c r="P20" s="4"/>
      <c r="Q20" s="4"/>
      <c r="R20" s="54"/>
      <c r="S20" s="52" t="s">
        <v>56</v>
      </c>
      <c r="T20" s="52" t="s">
        <v>57</v>
      </c>
      <c r="U20" s="55"/>
      <c r="V20" s="56"/>
      <c r="W20" s="56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ht="18.75" customHeight="1" x14ac:dyDescent="0.25">
      <c r="A21" s="2"/>
      <c r="B21" s="34"/>
      <c r="C21" s="34"/>
      <c r="D21" s="34"/>
      <c r="E21" s="34"/>
      <c r="F21" s="35"/>
      <c r="G21" s="36"/>
      <c r="R21" s="54"/>
      <c r="S21" s="56"/>
      <c r="T21" s="56"/>
      <c r="U21" s="55"/>
      <c r="V21" s="56"/>
      <c r="W21" s="56"/>
    </row>
    <row r="22" spans="1:44" ht="18.75" customHeight="1" x14ac:dyDescent="0.2">
      <c r="A22" s="57" t="s">
        <v>58</v>
      </c>
      <c r="B22" s="46" t="s">
        <v>59</v>
      </c>
      <c r="C22" s="46" t="s">
        <v>60</v>
      </c>
      <c r="D22" s="18">
        <v>807667</v>
      </c>
      <c r="E22" s="18">
        <v>808667</v>
      </c>
      <c r="F22" s="38"/>
      <c r="G22" s="38"/>
      <c r="R22" s="54"/>
      <c r="S22" s="56"/>
      <c r="T22" s="56"/>
      <c r="U22" s="55"/>
      <c r="V22" s="56"/>
      <c r="W22" s="56"/>
    </row>
    <row r="23" spans="1:44" ht="18.75" customHeight="1" x14ac:dyDescent="0.2">
      <c r="A23" s="57"/>
      <c r="B23" s="39" t="s">
        <v>61</v>
      </c>
      <c r="C23" s="39" t="s">
        <v>61</v>
      </c>
      <c r="D23" s="18"/>
      <c r="E23" s="18"/>
      <c r="F23" s="38"/>
      <c r="G23" s="38"/>
      <c r="R23" s="54"/>
      <c r="S23" s="56"/>
      <c r="T23" s="56"/>
      <c r="U23" s="55"/>
      <c r="V23" s="56"/>
      <c r="W23" s="56"/>
    </row>
    <row r="24" spans="1:44" ht="18.75" customHeight="1" x14ac:dyDescent="0.25">
      <c r="A24" s="57"/>
      <c r="B24" s="39" t="s">
        <v>62</v>
      </c>
      <c r="C24" s="39" t="s">
        <v>63</v>
      </c>
      <c r="D24" s="18"/>
      <c r="E24" s="18"/>
      <c r="F24" s="38"/>
      <c r="G24" s="38"/>
      <c r="J24" s="6" t="s">
        <v>64</v>
      </c>
      <c r="Q24" s="54"/>
      <c r="R24" s="56"/>
      <c r="S24" s="56"/>
      <c r="T24" s="55"/>
      <c r="U24" s="56"/>
      <c r="V24" s="56"/>
      <c r="AR24" s="44"/>
    </row>
    <row r="25" spans="1:44" ht="18.75" customHeight="1" x14ac:dyDescent="0.2">
      <c r="A25" s="57"/>
      <c r="B25" s="39" t="s">
        <v>65</v>
      </c>
      <c r="C25" s="39" t="s">
        <v>66</v>
      </c>
      <c r="D25" s="18"/>
      <c r="E25" s="18"/>
      <c r="F25" s="38"/>
      <c r="G25" s="38"/>
      <c r="Q25" s="54"/>
      <c r="R25" s="56"/>
      <c r="S25" s="56"/>
      <c r="T25" s="55"/>
      <c r="U25" s="56"/>
      <c r="V25" s="56"/>
      <c r="AR25" s="44"/>
    </row>
    <row r="26" spans="1:44" ht="18.75" customHeight="1" x14ac:dyDescent="0.25">
      <c r="A26" s="2"/>
      <c r="B26" s="34"/>
      <c r="C26" s="34"/>
      <c r="D26" s="34"/>
      <c r="E26" s="34"/>
      <c r="F26" s="35"/>
      <c r="G26" s="36"/>
      <c r="K26" s="40" t="s">
        <v>67</v>
      </c>
      <c r="L26" s="40" t="s">
        <v>68</v>
      </c>
      <c r="M26" s="40" t="s">
        <v>69</v>
      </c>
      <c r="N26" s="40" t="s">
        <v>70</v>
      </c>
      <c r="Q26" s="54"/>
      <c r="R26" s="56"/>
      <c r="S26" s="56"/>
      <c r="T26" s="55"/>
      <c r="U26" s="56"/>
      <c r="V26" s="56"/>
      <c r="AR26" s="44"/>
    </row>
    <row r="27" spans="1:44" s="50" customFormat="1" ht="18.75" customHeight="1" x14ac:dyDescent="0.2">
      <c r="A27" s="16" t="s">
        <v>71</v>
      </c>
      <c r="B27" s="46" t="s">
        <v>48</v>
      </c>
      <c r="C27" s="46" t="s">
        <v>48</v>
      </c>
      <c r="D27" s="18">
        <v>1278350</v>
      </c>
      <c r="E27" s="18">
        <v>1229000</v>
      </c>
      <c r="F27" s="58"/>
      <c r="G27" s="58"/>
      <c r="H27" s="4"/>
      <c r="I27" s="4"/>
      <c r="J27" s="4"/>
      <c r="K27" s="40"/>
      <c r="L27" s="40"/>
      <c r="M27" s="40"/>
      <c r="N27" s="40"/>
      <c r="O27" s="4"/>
      <c r="P27" s="4"/>
      <c r="Q27" s="54"/>
      <c r="R27" s="56"/>
      <c r="S27" s="56"/>
      <c r="T27" s="55"/>
      <c r="U27" s="56"/>
      <c r="V27" s="56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4" ht="18.75" customHeight="1" x14ac:dyDescent="0.2">
      <c r="A28" s="29"/>
      <c r="B28" s="30" t="s">
        <v>52</v>
      </c>
      <c r="C28" s="30" t="s">
        <v>52</v>
      </c>
      <c r="D28" s="18"/>
      <c r="E28" s="18"/>
      <c r="F28" s="58"/>
      <c r="G28" s="58"/>
      <c r="K28" s="41"/>
      <c r="L28" s="41"/>
      <c r="M28" s="41"/>
      <c r="N28" s="41"/>
      <c r="Q28" s="54"/>
      <c r="R28" s="56"/>
      <c r="S28" s="56"/>
      <c r="T28" s="55"/>
      <c r="U28" s="56"/>
      <c r="V28" s="56"/>
      <c r="AR28" s="44"/>
    </row>
    <row r="29" spans="1:44" ht="18.75" customHeight="1" x14ac:dyDescent="0.2">
      <c r="A29" s="32"/>
      <c r="B29" s="30" t="s">
        <v>55</v>
      </c>
      <c r="C29" s="30" t="s">
        <v>55</v>
      </c>
      <c r="D29" s="18"/>
      <c r="E29" s="18"/>
      <c r="F29" s="58"/>
      <c r="G29" s="58"/>
      <c r="J29" s="21" t="s">
        <v>72</v>
      </c>
      <c r="K29" s="59">
        <v>0.98</v>
      </c>
      <c r="L29" s="22">
        <v>269000</v>
      </c>
      <c r="M29" s="22">
        <v>807000</v>
      </c>
      <c r="N29" s="60" t="s">
        <v>73</v>
      </c>
      <c r="AR29" s="44"/>
    </row>
    <row r="30" spans="1:44" ht="18.75" customHeight="1" x14ac:dyDescent="0.25">
      <c r="A30" s="2"/>
      <c r="B30" s="34"/>
      <c r="C30" s="34"/>
      <c r="D30" s="34"/>
      <c r="E30" s="34"/>
      <c r="F30" s="61"/>
      <c r="G30" s="34"/>
      <c r="J30" s="21" t="s">
        <v>26</v>
      </c>
      <c r="K30" s="59">
        <v>0.74</v>
      </c>
      <c r="L30" s="22">
        <v>501000</v>
      </c>
      <c r="M30" s="22">
        <v>1503000</v>
      </c>
      <c r="N30" s="60" t="s">
        <v>74</v>
      </c>
      <c r="AR30" s="44"/>
    </row>
    <row r="31" spans="1:44" s="50" customFormat="1" ht="18.75" customHeight="1" x14ac:dyDescent="0.2">
      <c r="A31" s="57" t="s">
        <v>75</v>
      </c>
      <c r="B31" s="46" t="s">
        <v>76</v>
      </c>
      <c r="C31" s="46" t="s">
        <v>77</v>
      </c>
      <c r="D31" s="18">
        <v>1158000</v>
      </c>
      <c r="E31" s="19">
        <v>1047000</v>
      </c>
      <c r="F31" s="20"/>
      <c r="G31" s="20"/>
      <c r="H31" s="4"/>
      <c r="I31" s="4"/>
      <c r="J31" s="21" t="s">
        <v>78</v>
      </c>
      <c r="K31" s="59">
        <v>0.65</v>
      </c>
      <c r="L31" s="22">
        <v>293000</v>
      </c>
      <c r="M31" s="22">
        <v>879000</v>
      </c>
      <c r="N31" s="60" t="s">
        <v>79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4" ht="31.5" customHeight="1" x14ac:dyDescent="0.2">
      <c r="A32" s="57"/>
      <c r="B32" s="39" t="s">
        <v>80</v>
      </c>
      <c r="C32" s="62" t="s">
        <v>81</v>
      </c>
      <c r="D32" s="18"/>
      <c r="E32" s="31"/>
      <c r="F32" s="20"/>
      <c r="G32" s="20"/>
      <c r="AR32" s="44"/>
    </row>
    <row r="33" spans="1:7" ht="18.75" customHeight="1" x14ac:dyDescent="0.2">
      <c r="A33" s="57"/>
      <c r="B33" s="39" t="s">
        <v>82</v>
      </c>
      <c r="C33" s="63"/>
      <c r="D33" s="18"/>
      <c r="E33" s="33"/>
      <c r="F33" s="20"/>
      <c r="G33" s="20"/>
    </row>
    <row r="34" spans="1:7" ht="18.75" customHeight="1" x14ac:dyDescent="0.25">
      <c r="A34" s="2"/>
      <c r="B34" s="34"/>
      <c r="C34" s="64"/>
      <c r="D34" s="64"/>
      <c r="E34" s="34"/>
      <c r="F34" s="61"/>
      <c r="G34" s="34"/>
    </row>
    <row r="35" spans="1:7" s="4" customFormat="1" x14ac:dyDescent="0.2">
      <c r="B35" s="5"/>
      <c r="C35" s="5"/>
      <c r="D35" s="7"/>
      <c r="E35" s="7"/>
    </row>
    <row r="36" spans="1:7" s="4" customFormat="1" x14ac:dyDescent="0.2">
      <c r="B36" s="5"/>
      <c r="C36" s="5"/>
      <c r="D36" s="7"/>
      <c r="E36" s="7"/>
    </row>
    <row r="37" spans="1:7" s="4" customFormat="1" x14ac:dyDescent="0.2">
      <c r="B37" s="5"/>
      <c r="C37" s="5"/>
      <c r="D37" s="7"/>
      <c r="E37" s="7"/>
    </row>
    <row r="38" spans="1:7" s="4" customFormat="1" ht="33" customHeight="1" x14ac:dyDescent="0.2"/>
    <row r="39" spans="1:7" s="4" customFormat="1" x14ac:dyDescent="0.2"/>
    <row r="40" spans="1:7" s="4" customFormat="1" x14ac:dyDescent="0.2"/>
    <row r="41" spans="1:7" s="4" customFormat="1" x14ac:dyDescent="0.2">
      <c r="B41" s="5"/>
      <c r="C41" s="5"/>
      <c r="D41" s="7"/>
      <c r="E41" s="7"/>
    </row>
    <row r="42" spans="1:7" s="4" customFormat="1" x14ac:dyDescent="0.2">
      <c r="B42" s="5"/>
      <c r="C42" s="5"/>
      <c r="D42" s="7"/>
      <c r="E42" s="7"/>
    </row>
    <row r="43" spans="1:7" s="4" customFormat="1" ht="12.75" thickBot="1" x14ac:dyDescent="0.25">
      <c r="B43" s="5"/>
      <c r="C43" s="5"/>
      <c r="D43" s="7"/>
      <c r="E43" s="7"/>
    </row>
    <row r="44" spans="1:7" s="4" customFormat="1" x14ac:dyDescent="0.2">
      <c r="A44" s="65" t="s">
        <v>83</v>
      </c>
      <c r="B44" s="5"/>
      <c r="C44" s="5"/>
      <c r="D44" s="7"/>
      <c r="E44" s="7"/>
    </row>
    <row r="45" spans="1:7" s="4" customFormat="1" x14ac:dyDescent="0.2">
      <c r="B45" s="5"/>
      <c r="C45" s="5"/>
      <c r="D45" s="7"/>
      <c r="E45" s="7"/>
    </row>
    <row r="46" spans="1:7" s="4" customFormat="1" x14ac:dyDescent="0.2">
      <c r="B46" s="5"/>
      <c r="C46" s="5"/>
      <c r="D46" s="7"/>
      <c r="E46" s="7"/>
    </row>
    <row r="47" spans="1:7" s="4" customFormat="1" x14ac:dyDescent="0.2">
      <c r="B47" s="5"/>
      <c r="C47" s="5"/>
      <c r="D47" s="7"/>
      <c r="E47" s="7"/>
    </row>
    <row r="48" spans="1:7" s="4" customFormat="1" x14ac:dyDescent="0.2">
      <c r="B48" s="5"/>
      <c r="C48" s="5"/>
      <c r="D48" s="7"/>
      <c r="E48" s="7"/>
    </row>
    <row r="49" spans="2:5" s="4" customFormat="1" x14ac:dyDescent="0.2">
      <c r="B49" s="5"/>
      <c r="C49" s="5"/>
      <c r="D49" s="7"/>
      <c r="E49" s="7"/>
    </row>
    <row r="50" spans="2:5" s="4" customFormat="1" x14ac:dyDescent="0.2">
      <c r="B50" s="5"/>
      <c r="C50" s="5"/>
      <c r="D50" s="7"/>
      <c r="E50" s="7"/>
    </row>
    <row r="51" spans="2:5" s="4" customFormat="1" x14ac:dyDescent="0.2">
      <c r="B51" s="5"/>
      <c r="C51" s="5"/>
      <c r="D51" s="7"/>
      <c r="E51" s="7"/>
    </row>
    <row r="52" spans="2:5" s="4" customFormat="1" x14ac:dyDescent="0.2">
      <c r="B52" s="5"/>
      <c r="C52" s="5"/>
      <c r="D52" s="7"/>
      <c r="E52" s="7"/>
    </row>
    <row r="53" spans="2:5" s="4" customFormat="1" x14ac:dyDescent="0.2">
      <c r="B53" s="5"/>
      <c r="C53" s="5"/>
      <c r="D53" s="7"/>
      <c r="E53" s="7"/>
    </row>
    <row r="54" spans="2:5" s="4" customFormat="1" x14ac:dyDescent="0.2">
      <c r="B54" s="5"/>
      <c r="C54" s="5"/>
      <c r="D54" s="7"/>
      <c r="E54" s="7"/>
    </row>
    <row r="55" spans="2:5" s="4" customFormat="1" x14ac:dyDescent="0.2">
      <c r="B55" s="5"/>
      <c r="C55" s="5"/>
      <c r="D55" s="7"/>
      <c r="E55" s="7"/>
    </row>
    <row r="56" spans="2:5" s="4" customFormat="1" x14ac:dyDescent="0.2">
      <c r="B56" s="5"/>
      <c r="C56" s="5"/>
      <c r="D56" s="7"/>
      <c r="E56" s="7"/>
    </row>
    <row r="57" spans="2:5" s="4" customFormat="1" x14ac:dyDescent="0.2">
      <c r="B57" s="5"/>
      <c r="C57" s="5"/>
      <c r="D57" s="7"/>
      <c r="E57" s="7"/>
    </row>
    <row r="58" spans="2:5" s="4" customFormat="1" x14ac:dyDescent="0.2">
      <c r="B58" s="5"/>
      <c r="C58" s="5"/>
      <c r="D58" s="7"/>
      <c r="E58" s="7"/>
    </row>
    <row r="59" spans="2:5" s="4" customFormat="1" x14ac:dyDescent="0.2">
      <c r="B59" s="5"/>
      <c r="C59" s="5"/>
      <c r="D59" s="7"/>
      <c r="E59" s="7"/>
    </row>
    <row r="60" spans="2:5" s="4" customFormat="1" x14ac:dyDescent="0.2">
      <c r="B60" s="5"/>
      <c r="C60" s="5"/>
      <c r="D60" s="7"/>
      <c r="E60" s="7"/>
    </row>
    <row r="61" spans="2:5" s="4" customFormat="1" x14ac:dyDescent="0.2">
      <c r="B61" s="5"/>
      <c r="C61" s="5"/>
      <c r="D61" s="7"/>
      <c r="E61" s="7"/>
    </row>
    <row r="62" spans="2:5" s="4" customFormat="1" x14ac:dyDescent="0.2">
      <c r="B62" s="5"/>
      <c r="C62" s="5"/>
      <c r="D62" s="7"/>
      <c r="E62" s="7"/>
    </row>
    <row r="63" spans="2:5" s="4" customFormat="1" x14ac:dyDescent="0.2">
      <c r="B63" s="5"/>
      <c r="C63" s="5"/>
      <c r="D63" s="7"/>
      <c r="E63" s="7"/>
    </row>
    <row r="64" spans="2:5" s="4" customFormat="1" x14ac:dyDescent="0.2">
      <c r="B64" s="5"/>
      <c r="C64" s="5"/>
      <c r="D64" s="7"/>
      <c r="E64" s="7"/>
    </row>
    <row r="65" spans="2:5" s="4" customFormat="1" x14ac:dyDescent="0.2">
      <c r="B65" s="5"/>
      <c r="C65" s="5"/>
      <c r="D65" s="7"/>
      <c r="E65" s="7"/>
    </row>
    <row r="66" spans="2:5" s="4" customFormat="1" x14ac:dyDescent="0.2">
      <c r="B66" s="5"/>
      <c r="C66" s="5"/>
      <c r="D66" s="7"/>
      <c r="E66" s="7"/>
    </row>
    <row r="67" spans="2:5" s="4" customFormat="1" x14ac:dyDescent="0.2">
      <c r="B67" s="5"/>
      <c r="C67" s="5"/>
      <c r="D67" s="7"/>
      <c r="E67" s="7"/>
    </row>
    <row r="68" spans="2:5" s="4" customFormat="1" x14ac:dyDescent="0.2">
      <c r="B68" s="5"/>
      <c r="C68" s="5"/>
      <c r="D68" s="7"/>
      <c r="E68" s="7"/>
    </row>
    <row r="69" spans="2:5" s="4" customFormat="1" x14ac:dyDescent="0.2">
      <c r="B69" s="5"/>
      <c r="C69" s="5"/>
      <c r="D69" s="7"/>
      <c r="E69" s="7"/>
    </row>
    <row r="70" spans="2:5" s="4" customFormat="1" x14ac:dyDescent="0.2">
      <c r="B70" s="5"/>
      <c r="C70" s="5"/>
      <c r="D70" s="7"/>
      <c r="E70" s="7"/>
    </row>
    <row r="71" spans="2:5" s="4" customFormat="1" x14ac:dyDescent="0.2">
      <c r="B71" s="5"/>
      <c r="C71" s="5"/>
      <c r="D71" s="7"/>
      <c r="E71" s="7"/>
    </row>
    <row r="72" spans="2:5" s="4" customFormat="1" x14ac:dyDescent="0.2">
      <c r="B72" s="5"/>
      <c r="C72" s="5"/>
      <c r="D72" s="7"/>
      <c r="E72" s="7"/>
    </row>
    <row r="73" spans="2:5" s="4" customFormat="1" x14ac:dyDescent="0.2">
      <c r="B73" s="5"/>
      <c r="C73" s="5"/>
      <c r="D73" s="7"/>
      <c r="E73" s="7"/>
    </row>
    <row r="74" spans="2:5" s="4" customFormat="1" x14ac:dyDescent="0.2">
      <c r="B74" s="5"/>
      <c r="C74" s="5"/>
      <c r="D74" s="7"/>
      <c r="E74" s="7"/>
    </row>
    <row r="75" spans="2:5" s="4" customFormat="1" x14ac:dyDescent="0.2">
      <c r="B75" s="5"/>
      <c r="C75" s="5"/>
      <c r="D75" s="7"/>
      <c r="E75" s="7"/>
    </row>
    <row r="76" spans="2:5" s="4" customFormat="1" x14ac:dyDescent="0.2">
      <c r="B76" s="5"/>
      <c r="C76" s="5"/>
      <c r="D76" s="7"/>
      <c r="E76" s="7"/>
    </row>
    <row r="77" spans="2:5" s="4" customFormat="1" x14ac:dyDescent="0.2">
      <c r="B77" s="5"/>
      <c r="C77" s="5"/>
      <c r="D77" s="7"/>
      <c r="E77" s="7"/>
    </row>
    <row r="78" spans="2:5" s="4" customFormat="1" x14ac:dyDescent="0.2">
      <c r="B78" s="5"/>
      <c r="C78" s="5"/>
      <c r="D78" s="7"/>
      <c r="E78" s="7"/>
    </row>
    <row r="79" spans="2:5" s="4" customFormat="1" x14ac:dyDescent="0.2">
      <c r="B79" s="5"/>
      <c r="C79" s="5"/>
      <c r="D79" s="7"/>
      <c r="E79" s="7"/>
    </row>
    <row r="80" spans="2:5" s="4" customFormat="1" x14ac:dyDescent="0.2">
      <c r="B80" s="5"/>
      <c r="C80" s="5"/>
      <c r="D80" s="7"/>
      <c r="E80" s="7"/>
    </row>
    <row r="81" spans="2:5" s="4" customFormat="1" x14ac:dyDescent="0.2">
      <c r="B81" s="5"/>
      <c r="C81" s="5"/>
      <c r="D81" s="7"/>
      <c r="E81" s="7"/>
    </row>
    <row r="82" spans="2:5" s="4" customFormat="1" x14ac:dyDescent="0.2">
      <c r="B82" s="5"/>
      <c r="C82" s="5"/>
      <c r="D82" s="7"/>
      <c r="E82" s="7"/>
    </row>
    <row r="83" spans="2:5" s="4" customFormat="1" x14ac:dyDescent="0.2">
      <c r="B83" s="5"/>
      <c r="C83" s="5"/>
      <c r="D83" s="7"/>
      <c r="E83" s="7"/>
    </row>
    <row r="84" spans="2:5" s="4" customFormat="1" x14ac:dyDescent="0.2">
      <c r="B84" s="5"/>
      <c r="C84" s="5"/>
      <c r="D84" s="7"/>
      <c r="E84" s="7"/>
    </row>
    <row r="85" spans="2:5" s="4" customFormat="1" x14ac:dyDescent="0.2">
      <c r="B85" s="5"/>
      <c r="C85" s="5"/>
      <c r="D85" s="7"/>
      <c r="E85" s="7"/>
    </row>
    <row r="86" spans="2:5" s="4" customFormat="1" x14ac:dyDescent="0.2">
      <c r="B86" s="5"/>
      <c r="C86" s="5"/>
      <c r="D86" s="7"/>
      <c r="E86" s="7"/>
    </row>
    <row r="87" spans="2:5" s="4" customFormat="1" x14ac:dyDescent="0.2">
      <c r="B87" s="5"/>
      <c r="C87" s="5"/>
      <c r="D87" s="7"/>
      <c r="E87" s="7"/>
    </row>
    <row r="88" spans="2:5" s="4" customFormat="1" x14ac:dyDescent="0.2">
      <c r="B88" s="5"/>
      <c r="C88" s="5"/>
      <c r="D88" s="7"/>
      <c r="E88" s="7"/>
    </row>
    <row r="89" spans="2:5" s="4" customFormat="1" x14ac:dyDescent="0.2">
      <c r="B89" s="5"/>
      <c r="C89" s="5"/>
      <c r="D89" s="7"/>
      <c r="E89" s="7"/>
    </row>
    <row r="90" spans="2:5" s="4" customFormat="1" x14ac:dyDescent="0.2">
      <c r="B90" s="5"/>
      <c r="C90" s="5"/>
      <c r="D90" s="7"/>
      <c r="E90" s="7"/>
    </row>
    <row r="91" spans="2:5" s="4" customFormat="1" x14ac:dyDescent="0.2">
      <c r="B91" s="5"/>
      <c r="C91" s="5"/>
      <c r="D91" s="7"/>
      <c r="E91" s="7"/>
    </row>
    <row r="92" spans="2:5" s="4" customFormat="1" x14ac:dyDescent="0.2">
      <c r="B92" s="5"/>
      <c r="C92" s="5"/>
      <c r="D92" s="7"/>
      <c r="E92" s="7"/>
    </row>
    <row r="93" spans="2:5" s="4" customFormat="1" x14ac:dyDescent="0.2">
      <c r="B93" s="5"/>
      <c r="C93" s="5"/>
      <c r="D93" s="7"/>
      <c r="E93" s="7"/>
    </row>
    <row r="94" spans="2:5" s="4" customFormat="1" x14ac:dyDescent="0.2">
      <c r="B94" s="5"/>
      <c r="C94" s="5"/>
      <c r="D94" s="7"/>
      <c r="E94" s="7"/>
    </row>
    <row r="95" spans="2:5" s="4" customFormat="1" x14ac:dyDescent="0.2">
      <c r="B95" s="5"/>
      <c r="C95" s="5"/>
      <c r="D95" s="7"/>
      <c r="E95" s="7"/>
    </row>
    <row r="96" spans="2:5" s="4" customFormat="1" x14ac:dyDescent="0.2">
      <c r="B96" s="5"/>
      <c r="C96" s="5"/>
      <c r="D96" s="7"/>
      <c r="E96" s="7"/>
    </row>
    <row r="97" spans="2:5" s="4" customFormat="1" x14ac:dyDescent="0.2">
      <c r="B97" s="5"/>
      <c r="C97" s="5"/>
      <c r="D97" s="7"/>
      <c r="E97" s="7"/>
    </row>
    <row r="98" spans="2:5" s="4" customFormat="1" x14ac:dyDescent="0.2">
      <c r="B98" s="5"/>
      <c r="C98" s="5"/>
      <c r="D98" s="7"/>
      <c r="E98" s="7"/>
    </row>
    <row r="99" spans="2:5" s="4" customFormat="1" x14ac:dyDescent="0.2">
      <c r="B99" s="5"/>
      <c r="C99" s="5"/>
      <c r="D99" s="7"/>
      <c r="E99" s="7"/>
    </row>
    <row r="100" spans="2:5" s="4" customFormat="1" x14ac:dyDescent="0.2">
      <c r="B100" s="5"/>
      <c r="C100" s="5"/>
      <c r="D100" s="7"/>
      <c r="E100" s="7"/>
    </row>
    <row r="101" spans="2:5" s="4" customFormat="1" x14ac:dyDescent="0.2">
      <c r="B101" s="5"/>
      <c r="C101" s="5"/>
      <c r="D101" s="7"/>
      <c r="E101" s="7"/>
    </row>
    <row r="102" spans="2:5" s="4" customFormat="1" x14ac:dyDescent="0.2">
      <c r="B102" s="5"/>
      <c r="C102" s="5"/>
      <c r="D102" s="7"/>
      <c r="E102" s="7"/>
    </row>
    <row r="103" spans="2:5" s="4" customFormat="1" x14ac:dyDescent="0.2">
      <c r="B103" s="5"/>
      <c r="C103" s="5"/>
      <c r="D103" s="7"/>
      <c r="E103" s="7"/>
    </row>
    <row r="104" spans="2:5" s="4" customFormat="1" x14ac:dyDescent="0.2">
      <c r="B104" s="5"/>
      <c r="C104" s="5"/>
      <c r="D104" s="7"/>
      <c r="E104" s="7"/>
    </row>
    <row r="105" spans="2:5" s="4" customFormat="1" x14ac:dyDescent="0.2">
      <c r="B105" s="5"/>
      <c r="C105" s="5"/>
      <c r="D105" s="7"/>
      <c r="E105" s="7"/>
    </row>
    <row r="106" spans="2:5" s="4" customFormat="1" x14ac:dyDescent="0.2">
      <c r="B106" s="5"/>
      <c r="C106" s="5"/>
      <c r="D106" s="7"/>
      <c r="E106" s="7"/>
    </row>
    <row r="107" spans="2:5" s="4" customFormat="1" x14ac:dyDescent="0.2">
      <c r="B107" s="5"/>
      <c r="C107" s="5"/>
      <c r="D107" s="7"/>
      <c r="E107" s="7"/>
    </row>
    <row r="108" spans="2:5" s="4" customFormat="1" x14ac:dyDescent="0.2">
      <c r="B108" s="5"/>
      <c r="C108" s="5"/>
      <c r="D108" s="7"/>
      <c r="E108" s="7"/>
    </row>
    <row r="109" spans="2:5" s="4" customFormat="1" x14ac:dyDescent="0.2">
      <c r="B109" s="5"/>
      <c r="C109" s="5"/>
      <c r="D109" s="7"/>
      <c r="E109" s="7"/>
    </row>
    <row r="110" spans="2:5" s="4" customFormat="1" x14ac:dyDescent="0.2">
      <c r="B110" s="5"/>
      <c r="C110" s="5"/>
      <c r="D110" s="7"/>
      <c r="E110" s="7"/>
    </row>
    <row r="111" spans="2:5" s="4" customFormat="1" x14ac:dyDescent="0.2">
      <c r="B111" s="5"/>
      <c r="C111" s="5"/>
      <c r="D111" s="7"/>
      <c r="E111" s="7"/>
    </row>
    <row r="112" spans="2:5" s="4" customFormat="1" x14ac:dyDescent="0.2">
      <c r="B112" s="5"/>
      <c r="C112" s="5"/>
      <c r="D112" s="7"/>
      <c r="E112" s="7"/>
    </row>
    <row r="113" spans="2:5" s="4" customFormat="1" x14ac:dyDescent="0.2">
      <c r="B113" s="5"/>
      <c r="C113" s="5"/>
      <c r="D113" s="7"/>
      <c r="E113" s="7"/>
    </row>
    <row r="114" spans="2:5" s="4" customFormat="1" x14ac:dyDescent="0.2">
      <c r="B114" s="5"/>
      <c r="C114" s="5"/>
      <c r="D114" s="7"/>
      <c r="E114" s="7"/>
    </row>
    <row r="115" spans="2:5" s="4" customFormat="1" x14ac:dyDescent="0.2">
      <c r="B115" s="5"/>
      <c r="C115" s="5"/>
      <c r="D115" s="7"/>
      <c r="E115" s="7"/>
    </row>
    <row r="116" spans="2:5" s="4" customFormat="1" x14ac:dyDescent="0.2">
      <c r="B116" s="5"/>
      <c r="C116" s="5"/>
      <c r="D116" s="7"/>
      <c r="E116" s="7"/>
    </row>
    <row r="117" spans="2:5" s="4" customFormat="1" x14ac:dyDescent="0.2">
      <c r="B117" s="5"/>
      <c r="C117" s="5"/>
      <c r="D117" s="7"/>
      <c r="E117" s="7"/>
    </row>
    <row r="118" spans="2:5" s="4" customFormat="1" x14ac:dyDescent="0.2">
      <c r="B118" s="5"/>
      <c r="C118" s="5"/>
      <c r="D118" s="7"/>
      <c r="E118" s="7"/>
    </row>
    <row r="119" spans="2:5" s="4" customFormat="1" x14ac:dyDescent="0.2">
      <c r="B119" s="5"/>
      <c r="C119" s="5"/>
      <c r="D119" s="7"/>
      <c r="E119" s="7"/>
    </row>
    <row r="120" spans="2:5" s="4" customFormat="1" x14ac:dyDescent="0.2">
      <c r="B120" s="5"/>
      <c r="C120" s="5"/>
      <c r="D120" s="7"/>
      <c r="E120" s="7"/>
    </row>
    <row r="121" spans="2:5" s="4" customFormat="1" x14ac:dyDescent="0.2">
      <c r="B121" s="5"/>
      <c r="C121" s="5"/>
      <c r="D121" s="7"/>
      <c r="E121" s="7"/>
    </row>
    <row r="122" spans="2:5" s="4" customFormat="1" x14ac:dyDescent="0.2">
      <c r="B122" s="5"/>
      <c r="C122" s="5"/>
      <c r="D122" s="7"/>
      <c r="E122" s="7"/>
    </row>
    <row r="123" spans="2:5" s="4" customFormat="1" x14ac:dyDescent="0.2">
      <c r="B123" s="5"/>
      <c r="C123" s="5"/>
      <c r="D123" s="7"/>
      <c r="E123" s="7"/>
    </row>
    <row r="124" spans="2:5" s="4" customFormat="1" x14ac:dyDescent="0.2">
      <c r="B124" s="5"/>
      <c r="C124" s="5"/>
      <c r="D124" s="7"/>
      <c r="E124" s="7"/>
    </row>
    <row r="125" spans="2:5" s="4" customFormat="1" x14ac:dyDescent="0.2">
      <c r="B125" s="5"/>
      <c r="C125" s="5"/>
      <c r="D125" s="7"/>
      <c r="E125" s="7"/>
    </row>
    <row r="126" spans="2:5" s="4" customFormat="1" x14ac:dyDescent="0.2">
      <c r="B126" s="5"/>
      <c r="C126" s="5"/>
      <c r="D126" s="7"/>
      <c r="E126" s="7"/>
    </row>
    <row r="127" spans="2:5" s="4" customFormat="1" x14ac:dyDescent="0.2">
      <c r="B127" s="5"/>
      <c r="C127" s="5"/>
      <c r="D127" s="7"/>
      <c r="E127" s="7"/>
    </row>
    <row r="128" spans="2:5" s="4" customFormat="1" x14ac:dyDescent="0.2">
      <c r="B128" s="5"/>
      <c r="C128" s="5"/>
      <c r="D128" s="7"/>
      <c r="E128" s="7"/>
    </row>
    <row r="129" spans="2:5" s="4" customFormat="1" x14ac:dyDescent="0.2">
      <c r="B129" s="5"/>
      <c r="C129" s="5"/>
      <c r="D129" s="7"/>
      <c r="E129" s="7"/>
    </row>
    <row r="130" spans="2:5" s="4" customFormat="1" x14ac:dyDescent="0.2">
      <c r="B130" s="5"/>
      <c r="C130" s="5"/>
      <c r="D130" s="7"/>
      <c r="E130" s="7"/>
    </row>
    <row r="131" spans="2:5" s="4" customFormat="1" x14ac:dyDescent="0.2">
      <c r="B131" s="5"/>
      <c r="C131" s="5"/>
      <c r="D131" s="7"/>
      <c r="E131" s="7"/>
    </row>
    <row r="132" spans="2:5" s="4" customFormat="1" x14ac:dyDescent="0.2">
      <c r="B132" s="5"/>
      <c r="C132" s="5"/>
      <c r="D132" s="7"/>
      <c r="E132" s="7"/>
    </row>
    <row r="133" spans="2:5" s="4" customFormat="1" x14ac:dyDescent="0.2">
      <c r="B133" s="5"/>
      <c r="C133" s="5"/>
      <c r="D133" s="7"/>
      <c r="E133" s="7"/>
    </row>
    <row r="134" spans="2:5" s="4" customFormat="1" x14ac:dyDescent="0.2">
      <c r="B134" s="5"/>
      <c r="C134" s="5"/>
      <c r="D134" s="7"/>
      <c r="E134" s="7"/>
    </row>
    <row r="135" spans="2:5" s="4" customFormat="1" x14ac:dyDescent="0.2">
      <c r="B135" s="5"/>
      <c r="C135" s="5"/>
      <c r="D135" s="7"/>
      <c r="E135" s="7"/>
    </row>
    <row r="136" spans="2:5" s="4" customFormat="1" x14ac:dyDescent="0.2">
      <c r="B136" s="5"/>
      <c r="C136" s="5"/>
      <c r="D136" s="7"/>
      <c r="E136" s="7"/>
    </row>
    <row r="137" spans="2:5" s="4" customFormat="1" x14ac:dyDescent="0.2">
      <c r="B137" s="5"/>
      <c r="C137" s="5"/>
      <c r="D137" s="7"/>
      <c r="E137" s="7"/>
    </row>
    <row r="138" spans="2:5" s="4" customFormat="1" x14ac:dyDescent="0.2">
      <c r="B138" s="5"/>
      <c r="C138" s="5"/>
      <c r="D138" s="7"/>
      <c r="E138" s="7"/>
    </row>
    <row r="139" spans="2:5" s="4" customFormat="1" x14ac:dyDescent="0.2">
      <c r="B139" s="5"/>
      <c r="C139" s="5"/>
      <c r="D139" s="7"/>
      <c r="E139" s="7"/>
    </row>
    <row r="140" spans="2:5" s="4" customFormat="1" x14ac:dyDescent="0.2">
      <c r="B140" s="5"/>
      <c r="C140" s="5"/>
      <c r="D140" s="7"/>
      <c r="E140" s="7"/>
    </row>
    <row r="141" spans="2:5" s="4" customFormat="1" x14ac:dyDescent="0.2">
      <c r="B141" s="5"/>
      <c r="C141" s="5"/>
      <c r="D141" s="7"/>
      <c r="E141" s="7"/>
    </row>
    <row r="142" spans="2:5" s="4" customFormat="1" x14ac:dyDescent="0.2">
      <c r="B142" s="5"/>
      <c r="C142" s="5"/>
      <c r="D142" s="7"/>
      <c r="E142" s="7"/>
    </row>
    <row r="143" spans="2:5" s="4" customFormat="1" x14ac:dyDescent="0.2">
      <c r="B143" s="5"/>
      <c r="C143" s="5"/>
      <c r="D143" s="7"/>
      <c r="E143" s="7"/>
    </row>
    <row r="144" spans="2:5" s="4" customFormat="1" x14ac:dyDescent="0.2">
      <c r="B144" s="5"/>
      <c r="C144" s="5"/>
      <c r="D144" s="7"/>
      <c r="E144" s="7"/>
    </row>
    <row r="145" spans="2:5" s="4" customFormat="1" x14ac:dyDescent="0.2">
      <c r="B145" s="5"/>
      <c r="C145" s="5"/>
      <c r="D145" s="7"/>
      <c r="E145" s="7"/>
    </row>
    <row r="146" spans="2:5" s="4" customFormat="1" x14ac:dyDescent="0.2">
      <c r="B146" s="5"/>
      <c r="C146" s="5"/>
      <c r="D146" s="7"/>
      <c r="E146" s="7"/>
    </row>
    <row r="147" spans="2:5" s="4" customFormat="1" x14ac:dyDescent="0.2">
      <c r="B147" s="5"/>
      <c r="C147" s="5"/>
      <c r="D147" s="7"/>
      <c r="E147" s="7"/>
    </row>
    <row r="148" spans="2:5" s="4" customFormat="1" x14ac:dyDescent="0.2">
      <c r="B148" s="5"/>
      <c r="C148" s="5"/>
      <c r="D148" s="7"/>
      <c r="E148" s="7"/>
    </row>
    <row r="149" spans="2:5" s="4" customFormat="1" x14ac:dyDescent="0.2">
      <c r="B149" s="5"/>
      <c r="C149" s="5"/>
      <c r="D149" s="7"/>
      <c r="E149" s="7"/>
    </row>
    <row r="150" spans="2:5" s="4" customFormat="1" x14ac:dyDescent="0.2">
      <c r="B150" s="5"/>
      <c r="C150" s="5"/>
      <c r="D150" s="7"/>
      <c r="E150" s="7"/>
    </row>
    <row r="151" spans="2:5" s="4" customFormat="1" x14ac:dyDescent="0.2">
      <c r="B151" s="5"/>
      <c r="C151" s="5"/>
      <c r="D151" s="7"/>
      <c r="E151" s="7"/>
    </row>
    <row r="152" spans="2:5" s="4" customFormat="1" x14ac:dyDescent="0.2">
      <c r="B152" s="5"/>
      <c r="C152" s="5"/>
      <c r="D152" s="7"/>
      <c r="E152" s="7"/>
    </row>
    <row r="153" spans="2:5" s="4" customFormat="1" x14ac:dyDescent="0.2">
      <c r="B153" s="5"/>
      <c r="C153" s="5"/>
      <c r="D153" s="7"/>
      <c r="E153" s="7"/>
    </row>
    <row r="154" spans="2:5" s="4" customFormat="1" x14ac:dyDescent="0.2">
      <c r="B154" s="5"/>
      <c r="C154" s="5"/>
      <c r="D154" s="7"/>
      <c r="E154" s="7"/>
    </row>
    <row r="155" spans="2:5" s="4" customFormat="1" x14ac:dyDescent="0.2">
      <c r="B155" s="5"/>
      <c r="C155" s="5"/>
      <c r="D155" s="7"/>
      <c r="E155" s="7"/>
    </row>
    <row r="156" spans="2:5" s="4" customFormat="1" x14ac:dyDescent="0.2">
      <c r="B156" s="5"/>
      <c r="C156" s="5"/>
      <c r="D156" s="7"/>
      <c r="E156" s="7"/>
    </row>
    <row r="157" spans="2:5" s="4" customFormat="1" x14ac:dyDescent="0.2">
      <c r="B157" s="5"/>
      <c r="C157" s="5"/>
      <c r="D157" s="7"/>
      <c r="E157" s="7"/>
    </row>
    <row r="158" spans="2:5" s="4" customFormat="1" x14ac:dyDescent="0.2">
      <c r="B158" s="5"/>
      <c r="C158" s="5"/>
      <c r="D158" s="7"/>
      <c r="E158" s="7"/>
    </row>
    <row r="159" spans="2:5" s="4" customFormat="1" x14ac:dyDescent="0.2">
      <c r="B159" s="5"/>
      <c r="C159" s="5"/>
      <c r="D159" s="7"/>
      <c r="E159" s="7"/>
    </row>
    <row r="160" spans="2:5" s="4" customFormat="1" x14ac:dyDescent="0.2">
      <c r="B160" s="5"/>
      <c r="C160" s="5"/>
      <c r="D160" s="7"/>
      <c r="E160" s="7"/>
    </row>
    <row r="161" spans="2:5" s="4" customFormat="1" x14ac:dyDescent="0.2">
      <c r="B161" s="5"/>
      <c r="C161" s="5"/>
      <c r="D161" s="7"/>
      <c r="E161" s="7"/>
    </row>
    <row r="162" spans="2:5" s="4" customFormat="1" x14ac:dyDescent="0.2">
      <c r="B162" s="5"/>
      <c r="C162" s="5"/>
      <c r="D162" s="7"/>
      <c r="E162" s="7"/>
    </row>
    <row r="163" spans="2:5" s="4" customFormat="1" x14ac:dyDescent="0.2">
      <c r="B163" s="5"/>
      <c r="C163" s="5"/>
      <c r="D163" s="7"/>
      <c r="E163" s="7"/>
    </row>
    <row r="164" spans="2:5" s="4" customFormat="1" x14ac:dyDescent="0.2">
      <c r="B164" s="5"/>
      <c r="C164" s="5"/>
      <c r="D164" s="7"/>
      <c r="E164" s="7"/>
    </row>
    <row r="165" spans="2:5" s="4" customFormat="1" x14ac:dyDescent="0.2">
      <c r="B165" s="5"/>
      <c r="C165" s="5"/>
      <c r="D165" s="7"/>
      <c r="E165" s="7"/>
    </row>
    <row r="166" spans="2:5" s="4" customFormat="1" x14ac:dyDescent="0.2">
      <c r="B166" s="5"/>
      <c r="C166" s="5"/>
      <c r="D166" s="7"/>
      <c r="E166" s="7"/>
    </row>
    <row r="167" spans="2:5" s="4" customFormat="1" x14ac:dyDescent="0.2">
      <c r="B167" s="5"/>
      <c r="C167" s="5"/>
      <c r="D167" s="7"/>
      <c r="E167" s="7"/>
    </row>
    <row r="168" spans="2:5" s="4" customFormat="1" x14ac:dyDescent="0.2">
      <c r="B168" s="5"/>
      <c r="C168" s="5"/>
      <c r="D168" s="7"/>
      <c r="E168" s="7"/>
    </row>
    <row r="169" spans="2:5" s="4" customFormat="1" x14ac:dyDescent="0.2">
      <c r="B169" s="5"/>
      <c r="C169" s="5"/>
      <c r="D169" s="7"/>
      <c r="E169" s="7"/>
    </row>
    <row r="170" spans="2:5" s="4" customFormat="1" x14ac:dyDescent="0.2">
      <c r="B170" s="5"/>
      <c r="C170" s="5"/>
      <c r="D170" s="7"/>
      <c r="E170" s="7"/>
    </row>
  </sheetData>
  <mergeCells count="40">
    <mergeCell ref="A31:A33"/>
    <mergeCell ref="D31:D33"/>
    <mergeCell ref="E31:E33"/>
    <mergeCell ref="F31:G33"/>
    <mergeCell ref="C32:C33"/>
    <mergeCell ref="L26:L28"/>
    <mergeCell ref="M26:M28"/>
    <mergeCell ref="N26:N28"/>
    <mergeCell ref="A27:A29"/>
    <mergeCell ref="D27:D29"/>
    <mergeCell ref="E27:E29"/>
    <mergeCell ref="F27:G29"/>
    <mergeCell ref="A22:A25"/>
    <mergeCell ref="D22:D25"/>
    <mergeCell ref="E22:E25"/>
    <mergeCell ref="F22:G25"/>
    <mergeCell ref="F26:G26"/>
    <mergeCell ref="K26:K28"/>
    <mergeCell ref="F17:G17"/>
    <mergeCell ref="A18:A20"/>
    <mergeCell ref="D18:D20"/>
    <mergeCell ref="E18:E20"/>
    <mergeCell ref="F18:G20"/>
    <mergeCell ref="F21:G21"/>
    <mergeCell ref="F13:G16"/>
    <mergeCell ref="K14:K16"/>
    <mergeCell ref="L14:L16"/>
    <mergeCell ref="M14:M16"/>
    <mergeCell ref="N14:N16"/>
    <mergeCell ref="O14:O16"/>
    <mergeCell ref="F8:G8"/>
    <mergeCell ref="A9:A11"/>
    <mergeCell ref="D9:D11"/>
    <mergeCell ref="E9:E11"/>
    <mergeCell ref="F9:G11"/>
    <mergeCell ref="R9:R18"/>
    <mergeCell ref="F12:G12"/>
    <mergeCell ref="A13:A16"/>
    <mergeCell ref="D13:D16"/>
    <mergeCell ref="E13:E16"/>
  </mergeCells>
  <pageMargins left="0.7" right="0.7" top="0.75" bottom="0.75" header="0.3" footer="0.3"/>
  <pageSetup paperSize="9" orientation="portrait" r:id="rId1"/>
  <headerFooter>
    <oddHeader>&amp;L&amp;"Aptos"&amp;10&amp;K000000 Interno&amp;1#_x000D_</oddHeader>
    <oddFooter>&amp;C_x000D_&amp;1#&amp;"Aptos"&amp;8&amp;K000000 Uso Interno - No compartir fuera de la organización.</oddFooter>
  </headerFooter>
  <drawing r:id="rId2"/>
</worksheet>
</file>

<file path=docMetadata/LabelInfo.xml><?xml version="1.0" encoding="utf-8"?>
<clbl:labelList xmlns:clbl="http://schemas.microsoft.com/office/2020/mipLabelMetadata">
  <clbl:label id="{83661b87-7810-4813-8bd9-dd2ee6a65052}" enabled="1" method="Standard" siteId="{223943b3-0f38-442c-90e3-00f9c3b6b43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CID CALERO</dc:creator>
  <cp:lastModifiedBy>ENRIQUE CID CALERO</cp:lastModifiedBy>
  <dcterms:created xsi:type="dcterms:W3CDTF">2026-03-02T17:06:36Z</dcterms:created>
  <dcterms:modified xsi:type="dcterms:W3CDTF">2026-03-02T17:07:03Z</dcterms:modified>
</cp:coreProperties>
</file>