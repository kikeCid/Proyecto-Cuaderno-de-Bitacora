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https://lineadirectaes-my.sharepoint.com/personal/ldacdm1_lineadirecta_es/Documents/Archivos de chat de Microsoft Teams/"/>
    </mc:Choice>
  </mc:AlternateContent>
  <xr:revisionPtr revIDLastSave="0" documentId="8_{40BD1C8F-8749-401C-AECB-73528427BEF4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Valoracion Proyecto" sheetId="9" r:id="rId1"/>
    <sheet name="Valoracion GdC" sheetId="12" r:id="rId2"/>
    <sheet name="Detalle criterios" sheetId="10" r:id="rId3"/>
    <sheet name="Conclusiones" sheetId="6" r:id="rId4"/>
    <sheet name="Valoracion Plataforma" sheetId="5" r:id="rId5"/>
    <sheet name="Análisis_Coste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2" l="1"/>
  <c r="I15" i="12"/>
  <c r="H15" i="12"/>
  <c r="G15" i="12"/>
  <c r="F15" i="12"/>
  <c r="E15" i="12"/>
  <c r="D15" i="12"/>
  <c r="R14" i="12"/>
  <c r="Q14" i="12"/>
  <c r="P14" i="12"/>
  <c r="O14" i="12"/>
  <c r="N14" i="12"/>
  <c r="M14" i="12"/>
  <c r="L14" i="12"/>
  <c r="R13" i="12"/>
  <c r="Q13" i="12"/>
  <c r="P13" i="12"/>
  <c r="O13" i="12"/>
  <c r="N13" i="12"/>
  <c r="M13" i="12"/>
  <c r="L13" i="12"/>
  <c r="R12" i="12"/>
  <c r="Q12" i="12"/>
  <c r="P12" i="12"/>
  <c r="O12" i="12"/>
  <c r="N12" i="12"/>
  <c r="M12" i="12"/>
  <c r="L12" i="12"/>
  <c r="R11" i="12"/>
  <c r="Q11" i="12"/>
  <c r="P11" i="12"/>
  <c r="O11" i="12"/>
  <c r="N11" i="12"/>
  <c r="M11" i="12"/>
  <c r="L11" i="12"/>
  <c r="R10" i="12"/>
  <c r="Q10" i="12"/>
  <c r="P10" i="12"/>
  <c r="O10" i="12"/>
  <c r="N10" i="12"/>
  <c r="M10" i="12"/>
  <c r="L10" i="12"/>
  <c r="R9" i="12"/>
  <c r="Q9" i="12"/>
  <c r="P9" i="12"/>
  <c r="O9" i="12"/>
  <c r="N9" i="12"/>
  <c r="M9" i="12"/>
  <c r="L9" i="12"/>
  <c r="R8" i="12"/>
  <c r="Q8" i="12"/>
  <c r="P8" i="12"/>
  <c r="O8" i="12"/>
  <c r="N8" i="12"/>
  <c r="M8" i="12"/>
  <c r="L8" i="12"/>
  <c r="C7" i="12"/>
  <c r="L8" i="9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J9" i="5"/>
  <c r="J10" i="5"/>
  <c r="J11" i="5"/>
  <c r="J12" i="5"/>
  <c r="J24" i="5" s="1"/>
  <c r="J13" i="5"/>
  <c r="J14" i="5"/>
  <c r="J15" i="5"/>
  <c r="J16" i="5"/>
  <c r="J17" i="5"/>
  <c r="J18" i="5"/>
  <c r="J19" i="5"/>
  <c r="J20" i="5"/>
  <c r="J21" i="5"/>
  <c r="J22" i="5"/>
  <c r="J23" i="5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M22" i="9"/>
  <c r="M14" i="9"/>
  <c r="M10" i="9"/>
  <c r="M9" i="9"/>
  <c r="M11" i="9"/>
  <c r="M12" i="9"/>
  <c r="M13" i="9"/>
  <c r="M15" i="9"/>
  <c r="M16" i="9"/>
  <c r="M17" i="9"/>
  <c r="M18" i="9"/>
  <c r="M19" i="9"/>
  <c r="M20" i="9"/>
  <c r="M21" i="9"/>
  <c r="M23" i="9"/>
  <c r="M24" i="9"/>
  <c r="M25" i="9"/>
  <c r="M26" i="9"/>
  <c r="L23" i="9"/>
  <c r="L18" i="9"/>
  <c r="L12" i="9"/>
  <c r="L9" i="9"/>
  <c r="L10" i="9"/>
  <c r="L11" i="9"/>
  <c r="L13" i="9"/>
  <c r="L14" i="9"/>
  <c r="L15" i="9"/>
  <c r="L16" i="9"/>
  <c r="L17" i="9"/>
  <c r="L19" i="9"/>
  <c r="L20" i="9"/>
  <c r="L21" i="9"/>
  <c r="L22" i="9"/>
  <c r="L24" i="9"/>
  <c r="L25" i="9"/>
  <c r="L26" i="9"/>
  <c r="J27" i="9"/>
  <c r="I27" i="9"/>
  <c r="H27" i="9"/>
  <c r="G27" i="9"/>
  <c r="F27" i="9"/>
  <c r="E27" i="9"/>
  <c r="D27" i="9"/>
  <c r="M8" i="9"/>
  <c r="M27" i="9" s="1"/>
  <c r="N8" i="9"/>
  <c r="N27" i="9" s="1"/>
  <c r="R8" i="9"/>
  <c r="P8" i="9"/>
  <c r="Q8" i="9"/>
  <c r="Q27" i="9" s="1"/>
  <c r="O8" i="9"/>
  <c r="O27" i="9" s="1"/>
  <c r="C7" i="9"/>
  <c r="H19" i="5"/>
  <c r="H16" i="5"/>
  <c r="H22" i="5"/>
  <c r="H21" i="5"/>
  <c r="H20" i="5"/>
  <c r="H18" i="5"/>
  <c r="H17" i="5"/>
  <c r="H11" i="5"/>
  <c r="H10" i="5"/>
  <c r="H9" i="5"/>
  <c r="E6" i="5"/>
  <c r="D6" i="5"/>
  <c r="H23" i="5"/>
  <c r="C34" i="5"/>
  <c r="C8" i="5"/>
  <c r="N15" i="12" l="1"/>
  <c r="M15" i="12"/>
  <c r="P15" i="12"/>
  <c r="R15" i="12"/>
  <c r="L15" i="12"/>
  <c r="O15" i="12"/>
  <c r="Q15" i="12"/>
  <c r="L27" i="9"/>
  <c r="P27" i="9"/>
  <c r="R27" i="9"/>
  <c r="H15" i="5"/>
  <c r="H14" i="5"/>
  <c r="H13" i="5"/>
  <c r="H12" i="5"/>
  <c r="I24" i="5" l="1"/>
  <c r="H24" i="5"/>
</calcChain>
</file>

<file path=xl/sharedStrings.xml><?xml version="1.0" encoding="utf-8"?>
<sst xmlns="http://schemas.openxmlformats.org/spreadsheetml/2006/main" count="161" uniqueCount="93">
  <si>
    <t>ASPECTOS PROYECTO IMPLANTADOR CRM Operacional</t>
  </si>
  <si>
    <t>PUNTUACIÓN</t>
  </si>
  <si>
    <t>ASPECTOS TECNICOS-FUNCIONALES-OPERACIONALES</t>
  </si>
  <si>
    <t>PESO</t>
  </si>
  <si>
    <t>AYESA FSC</t>
  </si>
  <si>
    <t>OMEGA FSC</t>
  </si>
  <si>
    <t>OMEGA S&amp;S</t>
  </si>
  <si>
    <t>MINSAIT FSC</t>
  </si>
  <si>
    <t>NTT DATA S&amp;S</t>
  </si>
  <si>
    <t>ACCENTURE FSC</t>
  </si>
  <si>
    <t>CAPGEMINI</t>
  </si>
  <si>
    <t>ACCENTURE</t>
  </si>
  <si>
    <t>Valoración Oferta</t>
  </si>
  <si>
    <t>Entendimiento del proyecto y contexto LDA</t>
  </si>
  <si>
    <t>Gobernanza y metodología del proyecto</t>
  </si>
  <si>
    <t>Gestión de alcance y cambios</t>
  </si>
  <si>
    <t>Gestión de riesgos y dependencias</t>
  </si>
  <si>
    <t>Planificación y tiempo de ejecución</t>
  </si>
  <si>
    <t>Arquitectura e integración end-to-end</t>
  </si>
  <si>
    <t>Middleware y desacoplamiento tecnológico</t>
  </si>
  <si>
    <t>Gestión del dato y migración</t>
  </si>
  <si>
    <t>Uso del estándar y control de deuda técnica</t>
  </si>
  <si>
    <t>Aceleradores y capacidad de industrialización</t>
  </si>
  <si>
    <t>Estrategia de IA y evolución futura</t>
  </si>
  <si>
    <t>Implantación, configuración y detalle del alcance</t>
  </si>
  <si>
    <t>Cobertura funcional y sostenibilidad</t>
  </si>
  <si>
    <t>Equipo del proyecto y modelo operativo</t>
  </si>
  <si>
    <t>Convivencia entre el CRM y Galgo</t>
  </si>
  <si>
    <t>Gestión del cambio y adopción</t>
  </si>
  <si>
    <t>Período de Hypercare, Mantenimiento, Cumplimiento de Garantia y propuesta de SLA</t>
  </si>
  <si>
    <t>Estrategia de entornos y seguridad de accesos</t>
  </si>
  <si>
    <t>Defensa de la propuesta y capacidad de transmisión</t>
  </si>
  <si>
    <t>TOTAL:</t>
  </si>
  <si>
    <t>Putuación:</t>
  </si>
  <si>
    <t>1 - 5 (Peor - Mejor)</t>
  </si>
  <si>
    <t xml:space="preserve">Assessment inicial de preparación al cambio </t>
  </si>
  <si>
    <t xml:space="preserve">Coaching operativo y acompañamiento en campo </t>
  </si>
  <si>
    <t xml:space="preserve">Mapa de stakeholders y gobernanza del cambio </t>
  </si>
  <si>
    <t xml:space="preserve">Métricas de adopción y reporting </t>
  </si>
  <si>
    <t xml:space="preserve">Plan de comunicación del cambio </t>
  </si>
  <si>
    <t xml:space="preserve">Plan de formación y transferencia de conocimiento </t>
  </si>
  <si>
    <t xml:space="preserve">Plan de sostenibilidad y transición al CoE CRM </t>
  </si>
  <si>
    <t>#</t>
  </si>
  <si>
    <t xml:space="preserve">Criterio </t>
  </si>
  <si>
    <t>Detalle considerado en la valoración</t>
  </si>
  <si>
    <t>Grado de comprensión del contexto específico de LDA, core asegurador, relación CRM–Galgo, Contact Center, 
restricciones organizativas y tecnológicas. Capacidad de adaptar la propuesta a la realidad de LDA y evitar enfoques genéricos.</t>
  </si>
  <si>
    <t>Metodología (Agile, Waterfall, híbrida), modelo de gobierno del proyecto, mecanismos de control y adecuación a proyectos complejos y transversales.</t>
  </si>
  <si>
    <t>Modelo de gestión de cambios de alcance, priorización, control de impactos en plazo y coste, y madurez en la gestión de desviaciones.</t>
  </si>
  <si>
    <t>Matriz de riesgos (probabilidad/impacto), planes de mitigación, identificación de riesgos asumidos por LDA y supuestos/dependencias críticas por fase.</t>
  </si>
  <si>
    <t>Realismo del plan de proyecto, coherencia de fases, ajuste a capacidades reales de los equipos LDA y carga esperable para negocio e IT.</t>
  </si>
  <si>
    <t>Modelo de integración completo, convivencia CRM–Galgo, integración con Genesys, patrones técnicos, tipos de integración y frecuencia de datos.</t>
  </si>
  <si>
    <t>Justificación del middleware y API Manager, funciones asignadas a cada componente e impacto en escalabilidad, resiliencia y reducción de lock-in.</t>
  </si>
  <si>
    <t>Plan de migración de datos, herramientas, validación de calidad, rollback, persistencia de entidades y extracción de datos al lakehouse corporativo.</t>
  </si>
  <si>
    <t>Equilibrio entre configuración y desarrollo a medida, uso de Omnistudio, impacto en complejidad, rendimiento y mantenimiento futuro.</t>
  </si>
  <si>
    <t>Aceleradores del implantador y del vendor, evidencia de uso real, cuantificación del impacto en plazos/esfuerzo y compromisos de mantenimiento.</t>
  </si>
  <si>
    <t>Estrategia de IA alineada con CRM y Genesys, uso de modelos propios vs vendor, dimensionamiento de IA y preparación para evolución futura.</t>
  </si>
  <si>
    <t>Cobertura de requisitos en estándar/custom/desarrollo, sostenibilidad funcional del CRM y eficiencia a medio plazo.</t>
  </si>
  <si>
    <t>CVs nominales, certificaciones, ratio local/remoto/offshore, presencia en LDA y política de rotación y estabilidad del equipo.</t>
  </si>
  <si>
    <t>Plan de formación por perfiles, materiales, transferencia de conocimiento al CoE de LDA, soporte en go-live y modelo de hypercare.</t>
  </si>
  <si>
    <t>Claridad, coherencia y solidez de la defensa en comité, capacidad para explicar decisiones clave, responder preguntas y transmitir confianza y alineación con LDA.</t>
  </si>
  <si>
    <t>📌 Conclusiones de la valoración de ofertas</t>
  </si>
  <si>
    <t>⚙️ Aspectos Técnicos</t>
  </si>
  <si>
    <t>Proveedor</t>
  </si>
  <si>
    <t>Puntuación total</t>
  </si>
  <si>
    <t>Ranking</t>
  </si>
  <si>
    <t>Fortaleza principal</t>
  </si>
  <si>
    <t>Debilidad principal</t>
  </si>
  <si>
    <t>Comentario</t>
  </si>
  <si>
    <t>🧩 Aspectos Funcionales / Producto</t>
  </si>
  <si>
    <t>Producto</t>
  </si>
  <si>
    <t>ASPECTOS PROYECTO PLATAFORMA CRM Operacional</t>
  </si>
  <si>
    <t>MICROSOFT</t>
  </si>
  <si>
    <t>SALESFORCE</t>
  </si>
  <si>
    <t>Dynamics 365</t>
  </si>
  <si>
    <t>S&amp;S</t>
  </si>
  <si>
    <t>FSC</t>
  </si>
  <si>
    <t>Funcionalidades CRM</t>
  </si>
  <si>
    <t>Funcionalidades Vertical Seguros</t>
  </si>
  <si>
    <t>Aceleradores Low-Code</t>
  </si>
  <si>
    <r>
      <t>Seguridad y cumplimiento</t>
    </r>
    <r>
      <rPr>
        <sz val="10"/>
        <color rgb="FF000000"/>
        <rFont val="Aptos"/>
        <family val="2"/>
      </rPr>
      <t>​</t>
    </r>
  </si>
  <si>
    <r>
      <t>Integración con sistemas internos</t>
    </r>
    <r>
      <rPr>
        <sz val="10"/>
        <color rgb="FF000000"/>
        <rFont val="Aptos"/>
        <family val="2"/>
      </rPr>
      <t>​</t>
    </r>
  </si>
  <si>
    <r>
      <t>Integración con canales digitales</t>
    </r>
    <r>
      <rPr>
        <sz val="10"/>
        <color rgb="FF000000"/>
        <rFont val="Aptos"/>
        <family val="2"/>
      </rPr>
      <t>​</t>
    </r>
  </si>
  <si>
    <r>
      <t>Personalización y automatización</t>
    </r>
    <r>
      <rPr>
        <sz val="10"/>
        <color rgb="FF000000"/>
        <rFont val="Aptos"/>
        <family val="2"/>
      </rPr>
      <t>​</t>
    </r>
  </si>
  <si>
    <r>
      <t>Arquitectura y ecosistema</t>
    </r>
    <r>
      <rPr>
        <sz val="10"/>
        <color rgb="FF000000"/>
        <rFont val="Aptos"/>
        <family val="2"/>
      </rPr>
      <t>​</t>
    </r>
  </si>
  <si>
    <r>
      <t>Administración y mantenimiento</t>
    </r>
    <r>
      <rPr>
        <sz val="10"/>
        <color rgb="FF000000"/>
        <rFont val="Aptos"/>
        <family val="2"/>
      </rPr>
      <t>​</t>
    </r>
  </si>
  <si>
    <r>
      <t>Flexibilidad y adaptabilidad</t>
    </r>
    <r>
      <rPr>
        <sz val="10"/>
        <color rgb="FF000000"/>
        <rFont val="Aptos"/>
        <family val="2"/>
      </rPr>
      <t>​</t>
    </r>
  </si>
  <si>
    <r>
      <t>Gestión de accesos y perfilado</t>
    </r>
    <r>
      <rPr>
        <sz val="10"/>
        <color rgb="FF000000"/>
        <rFont val="Aptos"/>
        <family val="2"/>
      </rPr>
      <t xml:space="preserve">​ </t>
    </r>
  </si>
  <si>
    <t>Escalabilidad</t>
  </si>
  <si>
    <t>Capacidades de IA</t>
  </si>
  <si>
    <t>Road Map del Fabricante</t>
  </si>
  <si>
    <t>Marketplace</t>
  </si>
  <si>
    <t>ASPECTOS LICENCIAS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</si>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</sst>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12"/>
      <color rgb="FF000000"/>
      <name val="Ferrovial New Regular"/>
    </font>
    <font>
      <sz val="12"/>
      <color rgb="FF000000"/>
      <name val="Ferrovial New Regular"/>
    </font>
    <font>
      <sz val="11"/>
      <name val="Ferrovial New Regular"/>
    </font>
    <font>
      <sz val="11"/>
      <name val="Calibri"/>
      <family val="2"/>
    </font>
    <font>
      <sz val="12"/>
      <color rgb="FFFF0000"/>
      <name val="Ferrovial New Regular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ptos"/>
      <family val="2"/>
    </font>
    <font>
      <sz val="11"/>
      <color rgb="FF000000"/>
      <name val="Calibri"/>
    </font>
    <font>
      <sz val="8"/>
      <color rgb="FF000000"/>
      <name val="Calibri"/>
    </font>
    <font>
      <b/>
      <sz val="12"/>
      <color theme="0"/>
      <name val="Calibri"/>
    </font>
    <font>
      <b/>
      <sz val="10"/>
      <color rgb="FF000000"/>
      <name val="Arial"/>
    </font>
    <font>
      <b/>
      <sz val="11"/>
      <color rgb="FF000000"/>
      <name val="Arial"/>
    </font>
    <font>
      <b/>
      <sz val="10"/>
      <color theme="0"/>
      <name val="Calibri"/>
    </font>
    <font>
      <sz val="12"/>
      <color theme="0"/>
      <name val="Calibri"/>
    </font>
    <font>
      <b/>
      <sz val="11"/>
      <name val="Ferrovial New Regula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34998626667073579"/>
        <bgColor rgb="FFFFFF00"/>
      </patternFill>
    </fill>
    <fill>
      <patternFill patternType="solid">
        <fgColor rgb="FFC00000"/>
        <bgColor rgb="FFC6D9F0"/>
      </patternFill>
    </fill>
    <fill>
      <patternFill patternType="solid">
        <fgColor rgb="FFC00000"/>
        <bgColor rgb="FF8DB3E2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rgb="FFE6F4EA"/>
        <bgColor indexed="64"/>
      </patternFill>
    </fill>
    <fill>
      <patternFill patternType="solid">
        <fgColor rgb="FFE8F0FE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04">
    <xf numFmtId="0" fontId="0" fillId="0" borderId="0" xfId="0"/>
    <xf numFmtId="0" fontId="0" fillId="4" borderId="0" xfId="0" applyFill="1"/>
    <xf numFmtId="0" fontId="0" fillId="3" borderId="0" xfId="0" applyFill="1"/>
    <xf numFmtId="0" fontId="4" fillId="0" borderId="0" xfId="1" applyFont="1"/>
    <xf numFmtId="0" fontId="3" fillId="0" borderId="0" xfId="1"/>
    <xf numFmtId="0" fontId="4" fillId="0" borderId="3" xfId="1" applyFont="1" applyBorder="1" applyAlignment="1">
      <alignment horizontal="center"/>
    </xf>
    <xf numFmtId="0" fontId="7" fillId="0" borderId="6" xfId="1" applyFont="1" applyBorder="1" applyAlignment="1">
      <alignment vertical="center" wrapText="1"/>
    </xf>
    <xf numFmtId="9" fontId="7" fillId="0" borderId="6" xfId="1" applyNumberFormat="1" applyFont="1" applyBorder="1" applyAlignment="1">
      <alignment vertical="center"/>
    </xf>
    <xf numFmtId="0" fontId="8" fillId="8" borderId="4" xfId="1" applyFont="1" applyFill="1" applyBorder="1" applyAlignment="1">
      <alignment vertical="center"/>
    </xf>
    <xf numFmtId="0" fontId="9" fillId="9" borderId="5" xfId="1" applyFont="1" applyFill="1" applyBorder="1" applyAlignment="1">
      <alignment vertical="center"/>
    </xf>
    <xf numFmtId="2" fontId="7" fillId="9" borderId="6" xfId="1" applyNumberFormat="1" applyFont="1" applyFill="1" applyBorder="1" applyAlignment="1">
      <alignment vertical="center"/>
    </xf>
    <xf numFmtId="0" fontId="8" fillId="0" borderId="6" xfId="1" applyFont="1" applyBorder="1" applyAlignment="1">
      <alignment horizontal="left" vertical="center" wrapText="1"/>
    </xf>
    <xf numFmtId="9" fontId="8" fillId="0" borderId="6" xfId="1" applyNumberFormat="1" applyFont="1" applyBorder="1" applyAlignment="1">
      <alignment vertical="center"/>
    </xf>
    <xf numFmtId="0" fontId="8" fillId="10" borderId="6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2" fontId="8" fillId="0" borderId="6" xfId="1" applyNumberFormat="1" applyFont="1" applyBorder="1" applyAlignment="1">
      <alignment horizontal="center" vertical="center"/>
    </xf>
    <xf numFmtId="0" fontId="10" fillId="0" borderId="0" xfId="1" applyFont="1"/>
    <xf numFmtId="2" fontId="7" fillId="0" borderId="6" xfId="1" applyNumberFormat="1" applyFont="1" applyBorder="1" applyAlignment="1">
      <alignment horizontal="center" vertical="center"/>
    </xf>
    <xf numFmtId="0" fontId="8" fillId="0" borderId="0" xfId="1" applyFont="1" applyAlignment="1">
      <alignment wrapText="1"/>
    </xf>
    <xf numFmtId="0" fontId="8" fillId="0" borderId="0" xfId="1" applyFont="1"/>
    <xf numFmtId="0" fontId="11" fillId="0" borderId="0" xfId="1" applyFont="1"/>
    <xf numFmtId="0" fontId="7" fillId="0" borderId="6" xfId="1" applyFont="1" applyBorder="1" applyAlignment="1">
      <alignment horizontal="right" vertical="center" wrapText="1"/>
    </xf>
    <xf numFmtId="0" fontId="8" fillId="0" borderId="0" xfId="1" applyFont="1" applyAlignment="1">
      <alignment vertical="top"/>
    </xf>
    <xf numFmtId="0" fontId="8" fillId="0" borderId="0" xfId="1" applyFont="1" applyAlignment="1">
      <alignment vertical="top" wrapText="1"/>
    </xf>
    <xf numFmtId="0" fontId="4" fillId="0" borderId="0" xfId="1" applyFont="1" applyAlignment="1">
      <alignment wrapText="1"/>
    </xf>
    <xf numFmtId="0" fontId="5" fillId="6" borderId="6" xfId="1" applyFont="1" applyFill="1" applyBorder="1" applyAlignment="1">
      <alignment horizontal="left" vertical="center" wrapText="1"/>
    </xf>
    <xf numFmtId="0" fontId="5" fillId="7" borderId="6" xfId="1" applyFont="1" applyFill="1" applyBorder="1" applyAlignment="1">
      <alignment horizontal="center" vertical="center" wrapText="1"/>
    </xf>
    <xf numFmtId="0" fontId="3" fillId="0" borderId="0" xfId="1" applyAlignment="1">
      <alignment wrapText="1"/>
    </xf>
    <xf numFmtId="0" fontId="5" fillId="6" borderId="6" xfId="1" applyFont="1" applyFill="1" applyBorder="1" applyAlignment="1">
      <alignment horizontal="center" vertical="center" wrapText="1"/>
    </xf>
    <xf numFmtId="0" fontId="4" fillId="2" borderId="0" xfId="1" applyFont="1" applyFill="1"/>
    <xf numFmtId="0" fontId="3" fillId="2" borderId="0" xfId="1" applyFill="1"/>
    <xf numFmtId="0" fontId="5" fillId="11" borderId="0" xfId="1" applyFont="1" applyFill="1" applyAlignment="1">
      <alignment vertical="center"/>
    </xf>
    <xf numFmtId="0" fontId="12" fillId="0" borderId="0" xfId="1" applyFont="1" applyAlignment="1">
      <alignment wrapText="1"/>
    </xf>
    <xf numFmtId="9" fontId="8" fillId="0" borderId="8" xfId="1" applyNumberFormat="1" applyFont="1" applyBorder="1" applyAlignment="1">
      <alignment vertical="center"/>
    </xf>
    <xf numFmtId="0" fontId="8" fillId="10" borderId="8" xfId="1" applyFont="1" applyFill="1" applyBorder="1" applyAlignment="1">
      <alignment horizontal="center" vertical="center"/>
    </xf>
    <xf numFmtId="0" fontId="8" fillId="0" borderId="0" xfId="1" applyFont="1" applyAlignment="1">
      <alignment vertical="center"/>
    </xf>
    <xf numFmtId="9" fontId="8" fillId="0" borderId="1" xfId="1" applyNumberFormat="1" applyFont="1" applyBorder="1" applyAlignment="1">
      <alignment vertical="center"/>
    </xf>
    <xf numFmtId="0" fontId="8" fillId="10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right" vertical="center" wrapText="1"/>
    </xf>
    <xf numFmtId="0" fontId="7" fillId="0" borderId="2" xfId="1" applyFont="1" applyBorder="1" applyAlignment="1">
      <alignment horizontal="right" vertical="center" wrapText="1"/>
    </xf>
    <xf numFmtId="0" fontId="1" fillId="0" borderId="0" xfId="0" applyFont="1"/>
    <xf numFmtId="0" fontId="1" fillId="13" borderId="0" xfId="0" applyFont="1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9" fillId="0" borderId="0" xfId="1" applyFont="1"/>
    <xf numFmtId="0" fontId="8" fillId="0" borderId="4" xfId="1" applyFont="1" applyBorder="1" applyAlignment="1">
      <alignment vertical="top"/>
    </xf>
    <xf numFmtId="0" fontId="6" fillId="2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vertical="center"/>
    </xf>
    <xf numFmtId="0" fontId="8" fillId="0" borderId="6" xfId="1" applyFont="1" applyBorder="1" applyAlignment="1">
      <alignment horizontal="center" vertical="center" wrapText="1"/>
    </xf>
    <xf numFmtId="0" fontId="15" fillId="0" borderId="0" xfId="1" applyFont="1"/>
    <xf numFmtId="0" fontId="15" fillId="2" borderId="0" xfId="1" applyFont="1" applyFill="1"/>
    <xf numFmtId="0" fontId="15" fillId="0" borderId="0" xfId="1" applyFont="1" applyAlignment="1">
      <alignment wrapText="1"/>
    </xf>
    <xf numFmtId="0" fontId="16" fillId="0" borderId="0" xfId="1" applyFont="1"/>
    <xf numFmtId="0" fontId="16" fillId="2" borderId="0" xfId="1" applyFont="1" applyFill="1"/>
    <xf numFmtId="0" fontId="17" fillId="11" borderId="0" xfId="1" applyFont="1" applyFill="1" applyAlignment="1">
      <alignment vertical="center"/>
    </xf>
    <xf numFmtId="0" fontId="18" fillId="0" borderId="0" xfId="1" applyFont="1" applyAlignment="1">
      <alignment horizontal="center" vertical="center" wrapText="1"/>
    </xf>
    <xf numFmtId="0" fontId="16" fillId="0" borderId="3" xfId="1" applyFont="1" applyBorder="1" applyAlignment="1">
      <alignment horizontal="center"/>
    </xf>
    <xf numFmtId="0" fontId="19" fillId="0" borderId="0" xfId="1" applyFont="1" applyAlignment="1">
      <alignment wrapText="1"/>
    </xf>
    <xf numFmtId="0" fontId="16" fillId="0" borderId="0" xfId="1" applyFont="1" applyAlignment="1">
      <alignment wrapText="1"/>
    </xf>
    <xf numFmtId="0" fontId="20" fillId="6" borderId="6" xfId="1" applyFont="1" applyFill="1" applyBorder="1" applyAlignment="1">
      <alignment horizontal="left" vertical="center" wrapText="1"/>
    </xf>
    <xf numFmtId="0" fontId="17" fillId="6" borderId="6" xfId="1" applyFont="1" applyFill="1" applyBorder="1" applyAlignment="1">
      <alignment horizontal="center" vertical="center" wrapText="1"/>
    </xf>
    <xf numFmtId="0" fontId="17" fillId="7" borderId="6" xfId="1" applyFont="1" applyFill="1" applyBorder="1" applyAlignment="1">
      <alignment horizontal="center" vertical="center" wrapText="1"/>
    </xf>
    <xf numFmtId="0" fontId="21" fillId="2" borderId="0" xfId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" fillId="0" borderId="7" xfId="1" applyFont="1" applyBorder="1" applyAlignment="1">
      <alignment horizontal="center" vertical="center" wrapText="1"/>
    </xf>
    <xf numFmtId="0" fontId="17" fillId="7" borderId="8" xfId="1" applyFont="1" applyFill="1" applyBorder="1" applyAlignment="1">
      <alignment horizontal="center" vertical="center" wrapText="1"/>
    </xf>
    <xf numFmtId="9" fontId="7" fillId="0" borderId="4" xfId="1" applyNumberFormat="1" applyFont="1" applyBorder="1" applyAlignment="1">
      <alignment horizontal="center" vertical="center"/>
    </xf>
    <xf numFmtId="9" fontId="7" fillId="0" borderId="9" xfId="0" applyNumberFormat="1" applyFont="1" applyBorder="1" applyAlignment="1">
      <alignment horizontal="center" wrapText="1" readingOrder="1"/>
    </xf>
    <xf numFmtId="9" fontId="7" fillId="0" borderId="6" xfId="1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0" borderId="0" xfId="1" applyFont="1" applyAlignment="1">
      <alignment horizontal="center" vertical="center" wrapText="1"/>
    </xf>
    <xf numFmtId="9" fontId="7" fillId="0" borderId="9" xfId="0" applyNumberFormat="1" applyFont="1" applyBorder="1" applyAlignment="1">
      <alignment horizontal="center" vertical="center" wrapText="1" readingOrder="1"/>
    </xf>
    <xf numFmtId="0" fontId="8" fillId="0" borderId="4" xfId="1" applyFont="1" applyBorder="1" applyAlignment="1">
      <alignment horizontal="center" vertical="center"/>
    </xf>
    <xf numFmtId="0" fontId="22" fillId="9" borderId="6" xfId="1" applyFont="1" applyFill="1" applyBorder="1" applyAlignment="1">
      <alignment horizontal="center" vertical="center"/>
    </xf>
    <xf numFmtId="0" fontId="5" fillId="7" borderId="3" xfId="1" applyFont="1" applyFill="1" applyBorder="1" applyAlignment="1">
      <alignment horizontal="center" vertical="center" wrapText="1"/>
    </xf>
    <xf numFmtId="2" fontId="8" fillId="0" borderId="7" xfId="1" applyNumberFormat="1" applyFont="1" applyBorder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17" fillId="5" borderId="10" xfId="1" applyFont="1" applyFill="1" applyBorder="1" applyAlignment="1">
      <alignment horizontal="center" vertical="center"/>
    </xf>
    <xf numFmtId="0" fontId="17" fillId="5" borderId="0" xfId="1" applyFont="1" applyFill="1" applyAlignment="1">
      <alignment horizontal="center" vertical="center"/>
    </xf>
    <xf numFmtId="0" fontId="17" fillId="5" borderId="11" xfId="1" applyFont="1" applyFill="1" applyBorder="1" applyAlignment="1">
      <alignment horizontal="center" vertical="center"/>
    </xf>
    <xf numFmtId="0" fontId="17" fillId="5" borderId="3" xfId="1" applyFont="1" applyFill="1" applyBorder="1" applyAlignment="1">
      <alignment horizontal="center" vertical="center"/>
    </xf>
    <xf numFmtId="0" fontId="8" fillId="0" borderId="12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8" borderId="4" xfId="1" applyFont="1" applyFill="1" applyBorder="1" applyAlignment="1">
      <alignment horizontal="center" vertical="center"/>
    </xf>
    <xf numFmtId="0" fontId="8" fillId="8" borderId="5" xfId="1" applyFont="1" applyFill="1" applyBorder="1" applyAlignment="1">
      <alignment horizontal="center" vertical="center"/>
    </xf>
    <xf numFmtId="0" fontId="8" fillId="8" borderId="15" xfId="1" applyFont="1" applyFill="1" applyBorder="1" applyAlignment="1">
      <alignment horizontal="center" vertical="center"/>
    </xf>
    <xf numFmtId="0" fontId="13" fillId="0" borderId="0" xfId="1" applyFont="1" applyAlignment="1">
      <alignment horizontal="center" vertical="center" wrapText="1"/>
    </xf>
    <xf numFmtId="0" fontId="17" fillId="7" borderId="6" xfId="1" applyFont="1" applyFill="1" applyBorder="1" applyAlignment="1">
      <alignment horizontal="center" vertical="center" wrapText="1"/>
    </xf>
    <xf numFmtId="0" fontId="17" fillId="7" borderId="15" xfId="1" applyFont="1" applyFill="1" applyBorder="1" applyAlignment="1">
      <alignment horizontal="center" vertical="center" wrapText="1"/>
    </xf>
    <xf numFmtId="0" fontId="17" fillId="7" borderId="8" xfId="1" applyFont="1" applyFill="1" applyBorder="1" applyAlignment="1">
      <alignment horizontal="center" vertical="center" wrapText="1"/>
    </xf>
    <xf numFmtId="2" fontId="7" fillId="9" borderId="4" xfId="1" applyNumberFormat="1" applyFont="1" applyFill="1" applyBorder="1" applyAlignment="1">
      <alignment horizontal="center" vertical="center"/>
    </xf>
    <xf numFmtId="2" fontId="7" fillId="9" borderId="5" xfId="1" applyNumberFormat="1" applyFont="1" applyFill="1" applyBorder="1" applyAlignment="1">
      <alignment horizontal="center" vertical="center"/>
    </xf>
    <xf numFmtId="2" fontId="7" fillId="9" borderId="15" xfId="1" applyNumberFormat="1" applyFont="1" applyFill="1" applyBorder="1" applyAlignment="1">
      <alignment horizontal="center" vertical="center"/>
    </xf>
    <xf numFmtId="0" fontId="20" fillId="6" borderId="8" xfId="1" applyFont="1" applyFill="1" applyBorder="1" applyAlignment="1">
      <alignment horizontal="center" vertical="center" wrapText="1"/>
    </xf>
    <xf numFmtId="0" fontId="20" fillId="6" borderId="7" xfId="1" applyFont="1" applyFill="1" applyBorder="1" applyAlignment="1">
      <alignment horizontal="center" vertical="center" wrapText="1"/>
    </xf>
    <xf numFmtId="0" fontId="17" fillId="6" borderId="8" xfId="1" applyFont="1" applyFill="1" applyBorder="1" applyAlignment="1">
      <alignment horizontal="center" vertical="center" wrapText="1"/>
    </xf>
    <xf numFmtId="0" fontId="17" fillId="6" borderId="7" xfId="1" applyFont="1" applyFill="1" applyBorder="1" applyAlignment="1">
      <alignment horizontal="center" vertical="center" wrapText="1"/>
    </xf>
    <xf numFmtId="0" fontId="2" fillId="12" borderId="0" xfId="0" applyFont="1" applyFill="1" applyAlignment="1"/>
  </cellXfs>
  <cellStyles count="2">
    <cellStyle name="Normal" xfId="0" builtinId="0"/>
    <cellStyle name="Normal 2" xfId="1" xr:uid="{DA0FFD06-6DE0-4B39-8387-91B50356AA1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Ferrovial New Bold" panose="02000806040000020003" pitchFamily="2" charset="0"/>
              </a:rPr>
              <a:t>Gráfico comparativo</a:t>
            </a:r>
          </a:p>
        </c:rich>
      </c:tx>
      <c:layout>
        <c:manualLayout>
          <c:xMode val="edge"/>
          <c:yMode val="edge"/>
          <c:x val="0.34717450027012425"/>
          <c:y val="2.69121546611660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0836465314793909"/>
          <c:y val="0.20391630201429833"/>
          <c:w val="0.5352974072433323"/>
          <c:h val="0.63997879728334661"/>
        </c:manualLayout>
      </c:layout>
      <c:radarChart>
        <c:radarStyle val="marker"/>
        <c:varyColors val="0"/>
        <c:ser>
          <c:idx val="0"/>
          <c:order val="0"/>
          <c:tx>
            <c:strRef>
              <c:f>'Valoracion Proyecto'!$D$6</c:f>
              <c:strCache>
                <c:ptCount val="1"/>
                <c:pt idx="0">
                  <c:v>AYESA FSC</c:v>
                </c:pt>
              </c:strCache>
            </c:strRef>
          </c:tx>
          <c:spPr>
            <a:ln w="28575" cap="rnd">
              <a:solidFill>
                <a:srgbClr val="215C98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'Valoracion Proyecto'!$B$8:$B$26</c:f>
              <c:strCache>
                <c:ptCount val="19"/>
                <c:pt idx="0">
                  <c:v>Entendimiento del proyecto y contexto LDA</c:v>
                </c:pt>
                <c:pt idx="1">
                  <c:v>Gobernanza y metodología del proyecto</c:v>
                </c:pt>
                <c:pt idx="2">
                  <c:v>Gestión de alcance y cambios</c:v>
                </c:pt>
                <c:pt idx="3">
                  <c:v>Gestión de riesgos y dependencias</c:v>
                </c:pt>
                <c:pt idx="4">
                  <c:v>Planificación y tiempo de ejecución</c:v>
                </c:pt>
                <c:pt idx="5">
                  <c:v>Arquitectura e integración end-to-end</c:v>
                </c:pt>
                <c:pt idx="6">
                  <c:v>Middleware y desacoplamiento tecnológico</c:v>
                </c:pt>
                <c:pt idx="7">
                  <c:v>Gestión del dato y migración</c:v>
                </c:pt>
                <c:pt idx="8">
                  <c:v>Uso del estándar y control de deuda técnica</c:v>
                </c:pt>
                <c:pt idx="9">
                  <c:v>Aceleradores y capacidad de industrialización</c:v>
                </c:pt>
                <c:pt idx="10">
                  <c:v>Estrategia de IA y evolución futura</c:v>
                </c:pt>
                <c:pt idx="11">
                  <c:v>Implantación, configuración y detalle del alcance</c:v>
                </c:pt>
                <c:pt idx="12">
                  <c:v>Cobertura funcional y sostenibilidad</c:v>
                </c:pt>
                <c:pt idx="13">
                  <c:v>Equipo del proyecto y modelo operativo</c:v>
                </c:pt>
                <c:pt idx="14">
                  <c:v>Convivencia entre el CRM y Galgo</c:v>
                </c:pt>
                <c:pt idx="15">
                  <c:v>Gestión del cambio y adopción</c:v>
                </c:pt>
                <c:pt idx="16">
                  <c:v>Período de Hypercare, Mantenimiento, Cumplimiento de Garantia y propuesta de SLA</c:v>
                </c:pt>
                <c:pt idx="17">
                  <c:v>Estrategia de entornos y seguridad de accesos</c:v>
                </c:pt>
                <c:pt idx="18">
                  <c:v>Defensa de la propuesta y capacidad de transmisión</c:v>
                </c:pt>
              </c:strCache>
            </c:strRef>
          </c:cat>
          <c:val>
            <c:numRef>
              <c:f>'Valoracion Proyecto'!$D$8:$D$26</c:f>
              <c:numCache>
                <c:formatCode>General</c:formatCode>
                <c:ptCount val="19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3-44CB-86CA-EEEC717DA36F}"/>
            </c:ext>
          </c:extLst>
        </c:ser>
        <c:ser>
          <c:idx val="1"/>
          <c:order val="1"/>
          <c:tx>
            <c:strRef>
              <c:f>'Valoracion Proyecto'!$E$6</c:f>
              <c:strCache>
                <c:ptCount val="1"/>
                <c:pt idx="0">
                  <c:v>OMEGA FSC</c:v>
                </c:pt>
              </c:strCache>
            </c:strRef>
          </c:tx>
          <c:spPr>
            <a:ln w="28575" cap="flat" cmpd="sng" algn="ctr">
              <a:solidFill>
                <a:srgbClr val="FF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strRef>
              <c:f>'Valoracion Proyecto'!$B$8:$B$26</c:f>
              <c:strCache>
                <c:ptCount val="19"/>
                <c:pt idx="0">
                  <c:v>Entendimiento del proyecto y contexto LDA</c:v>
                </c:pt>
                <c:pt idx="1">
                  <c:v>Gobernanza y metodología del proyecto</c:v>
                </c:pt>
                <c:pt idx="2">
                  <c:v>Gestión de alcance y cambios</c:v>
                </c:pt>
                <c:pt idx="3">
                  <c:v>Gestión de riesgos y dependencias</c:v>
                </c:pt>
                <c:pt idx="4">
                  <c:v>Planificación y tiempo de ejecución</c:v>
                </c:pt>
                <c:pt idx="5">
                  <c:v>Arquitectura e integración end-to-end</c:v>
                </c:pt>
                <c:pt idx="6">
                  <c:v>Middleware y desacoplamiento tecnológico</c:v>
                </c:pt>
                <c:pt idx="7">
                  <c:v>Gestión del dato y migración</c:v>
                </c:pt>
                <c:pt idx="8">
                  <c:v>Uso del estándar y control de deuda técnica</c:v>
                </c:pt>
                <c:pt idx="9">
                  <c:v>Aceleradores y capacidad de industrialización</c:v>
                </c:pt>
                <c:pt idx="10">
                  <c:v>Estrategia de IA y evolución futura</c:v>
                </c:pt>
                <c:pt idx="11">
                  <c:v>Implantación, configuración y detalle del alcance</c:v>
                </c:pt>
                <c:pt idx="12">
                  <c:v>Cobertura funcional y sostenibilidad</c:v>
                </c:pt>
                <c:pt idx="13">
                  <c:v>Equipo del proyecto y modelo operativo</c:v>
                </c:pt>
                <c:pt idx="14">
                  <c:v>Convivencia entre el CRM y Galgo</c:v>
                </c:pt>
                <c:pt idx="15">
                  <c:v>Gestión del cambio y adopción</c:v>
                </c:pt>
                <c:pt idx="16">
                  <c:v>Período de Hypercare, Mantenimiento, Cumplimiento de Garantia y propuesta de SLA</c:v>
                </c:pt>
                <c:pt idx="17">
                  <c:v>Estrategia de entornos y seguridad de accesos</c:v>
                </c:pt>
                <c:pt idx="18">
                  <c:v>Defensa de la propuesta y capacidad de transmisión</c:v>
                </c:pt>
              </c:strCache>
            </c:strRef>
          </c:cat>
          <c:val>
            <c:numRef>
              <c:f>'Valoracion Proyecto'!$E$8:$E$26</c:f>
              <c:numCache>
                <c:formatCode>General</c:formatCode>
                <c:ptCount val="19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53-44CB-86CA-EEEC717DA36F}"/>
            </c:ext>
          </c:extLst>
        </c:ser>
        <c:ser>
          <c:idx val="2"/>
          <c:order val="2"/>
          <c:tx>
            <c:strRef>
              <c:f>{"OMEGA S&amp;S"}</c:f>
              <c:strCache>
                <c:ptCount val="1"/>
                <c:pt idx="0">
                  <c:v>OMEGA S&amp;S</c:v>
                </c:pt>
              </c:strCache>
            </c:strRef>
          </c:tx>
          <c:spPr>
            <a:ln w="28575" cap="flat" cmpd="sng" algn="ctr">
              <a:solidFill>
                <a:srgbClr val="FF0000"/>
              </a:solidFill>
              <a:prstDash val="sysDot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strRef>
              <c:f>'Valoracion Proyecto'!$B$8:$B$26</c:f>
              <c:strCache>
                <c:ptCount val="19"/>
                <c:pt idx="0">
                  <c:v>Entendimiento del proyecto y contexto LDA</c:v>
                </c:pt>
                <c:pt idx="1">
                  <c:v>Gobernanza y metodología del proyecto</c:v>
                </c:pt>
                <c:pt idx="2">
                  <c:v>Gestión de alcance y cambios</c:v>
                </c:pt>
                <c:pt idx="3">
                  <c:v>Gestión de riesgos y dependencias</c:v>
                </c:pt>
                <c:pt idx="4">
                  <c:v>Planificación y tiempo de ejecución</c:v>
                </c:pt>
                <c:pt idx="5">
                  <c:v>Arquitectura e integración end-to-end</c:v>
                </c:pt>
                <c:pt idx="6">
                  <c:v>Middleware y desacoplamiento tecnológico</c:v>
                </c:pt>
                <c:pt idx="7">
                  <c:v>Gestión del dato y migración</c:v>
                </c:pt>
                <c:pt idx="8">
                  <c:v>Uso del estándar y control de deuda técnica</c:v>
                </c:pt>
                <c:pt idx="9">
                  <c:v>Aceleradores y capacidad de industrialización</c:v>
                </c:pt>
                <c:pt idx="10">
                  <c:v>Estrategia de IA y evolución futura</c:v>
                </c:pt>
                <c:pt idx="11">
                  <c:v>Implantación, configuración y detalle del alcance</c:v>
                </c:pt>
                <c:pt idx="12">
                  <c:v>Cobertura funcional y sostenibilidad</c:v>
                </c:pt>
                <c:pt idx="13">
                  <c:v>Equipo del proyecto y modelo operativo</c:v>
                </c:pt>
                <c:pt idx="14">
                  <c:v>Convivencia entre el CRM y Galgo</c:v>
                </c:pt>
                <c:pt idx="15">
                  <c:v>Gestión del cambio y adopción</c:v>
                </c:pt>
                <c:pt idx="16">
                  <c:v>Período de Hypercare, Mantenimiento, Cumplimiento de Garantia y propuesta de SLA</c:v>
                </c:pt>
                <c:pt idx="17">
                  <c:v>Estrategia de entornos y seguridad de accesos</c:v>
                </c:pt>
                <c:pt idx="18">
                  <c:v>Defensa de la propuesta y capacidad de transmisión</c:v>
                </c:pt>
              </c:strCache>
            </c:strRef>
          </c:cat>
          <c:val>
            <c:numRef>
              <c:f>'Valoracion Proyecto'!$F$8:$F$26</c:f>
              <c:numCache>
                <c:formatCode>General</c:formatCode>
                <c:ptCount val="19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60-4531-A902-48E5CC9D638E}"/>
            </c:ext>
          </c:extLst>
        </c:ser>
        <c:ser>
          <c:idx val="3"/>
          <c:order val="3"/>
          <c:tx>
            <c:strRef>
              <c:f>{"MINSAIT FSC"}</c:f>
              <c:strCache>
                <c:ptCount val="1"/>
                <c:pt idx="0">
                  <c:v>MINSAIT FSC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'Valoracion Proyecto'!$B$8:$B$26</c:f>
              <c:strCache>
                <c:ptCount val="19"/>
                <c:pt idx="0">
                  <c:v>Entendimiento del proyecto y contexto LDA</c:v>
                </c:pt>
                <c:pt idx="1">
                  <c:v>Gobernanza y metodología del proyecto</c:v>
                </c:pt>
                <c:pt idx="2">
                  <c:v>Gestión de alcance y cambios</c:v>
                </c:pt>
                <c:pt idx="3">
                  <c:v>Gestión de riesgos y dependencias</c:v>
                </c:pt>
                <c:pt idx="4">
                  <c:v>Planificación y tiempo de ejecución</c:v>
                </c:pt>
                <c:pt idx="5">
                  <c:v>Arquitectura e integración end-to-end</c:v>
                </c:pt>
                <c:pt idx="6">
                  <c:v>Middleware y desacoplamiento tecnológico</c:v>
                </c:pt>
                <c:pt idx="7">
                  <c:v>Gestión del dato y migración</c:v>
                </c:pt>
                <c:pt idx="8">
                  <c:v>Uso del estándar y control de deuda técnica</c:v>
                </c:pt>
                <c:pt idx="9">
                  <c:v>Aceleradores y capacidad de industrialización</c:v>
                </c:pt>
                <c:pt idx="10">
                  <c:v>Estrategia de IA y evolución futura</c:v>
                </c:pt>
                <c:pt idx="11">
                  <c:v>Implantación, configuración y detalle del alcance</c:v>
                </c:pt>
                <c:pt idx="12">
                  <c:v>Cobertura funcional y sostenibilidad</c:v>
                </c:pt>
                <c:pt idx="13">
                  <c:v>Equipo del proyecto y modelo operativo</c:v>
                </c:pt>
                <c:pt idx="14">
                  <c:v>Convivencia entre el CRM y Galgo</c:v>
                </c:pt>
                <c:pt idx="15">
                  <c:v>Gestión del cambio y adopción</c:v>
                </c:pt>
                <c:pt idx="16">
                  <c:v>Período de Hypercare, Mantenimiento, Cumplimiento de Garantia y propuesta de SLA</c:v>
                </c:pt>
                <c:pt idx="17">
                  <c:v>Estrategia de entornos y seguridad de accesos</c:v>
                </c:pt>
                <c:pt idx="18">
                  <c:v>Defensa de la propuesta y capacidad de transmisión</c:v>
                </c:pt>
              </c:strCache>
            </c:strRef>
          </c:cat>
          <c:val>
            <c:numRef>
              <c:f>'Valoracion Proyecto'!$G$8:$G$26</c:f>
              <c:numCache>
                <c:formatCode>General</c:formatCode>
                <c:ptCount val="19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60-4531-A902-48E5CC9D638E}"/>
            </c:ext>
          </c:extLst>
        </c:ser>
        <c:ser>
          <c:idx val="4"/>
          <c:order val="4"/>
          <c:tx>
            <c:strRef>
              <c:f>{"NTT DATA S&amp;S"}</c:f>
              <c:strCache>
                <c:ptCount val="1"/>
                <c:pt idx="0">
                  <c:v>NTT DATA S&amp;S</c:v>
                </c:pt>
              </c:strCache>
            </c:strRef>
          </c:tx>
          <c:spPr>
            <a:ln w="28575" cap="rnd">
              <a:solidFill>
                <a:srgbClr val="4D93D9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'Valoracion Proyecto'!$B$8:$B$26</c:f>
              <c:strCache>
                <c:ptCount val="19"/>
                <c:pt idx="0">
                  <c:v>Entendimiento del proyecto y contexto LDA</c:v>
                </c:pt>
                <c:pt idx="1">
                  <c:v>Gobernanza y metodología del proyecto</c:v>
                </c:pt>
                <c:pt idx="2">
                  <c:v>Gestión de alcance y cambios</c:v>
                </c:pt>
                <c:pt idx="3">
                  <c:v>Gestión de riesgos y dependencias</c:v>
                </c:pt>
                <c:pt idx="4">
                  <c:v>Planificación y tiempo de ejecución</c:v>
                </c:pt>
                <c:pt idx="5">
                  <c:v>Arquitectura e integración end-to-end</c:v>
                </c:pt>
                <c:pt idx="6">
                  <c:v>Middleware y desacoplamiento tecnológico</c:v>
                </c:pt>
                <c:pt idx="7">
                  <c:v>Gestión del dato y migración</c:v>
                </c:pt>
                <c:pt idx="8">
                  <c:v>Uso del estándar y control de deuda técnica</c:v>
                </c:pt>
                <c:pt idx="9">
                  <c:v>Aceleradores y capacidad de industrialización</c:v>
                </c:pt>
                <c:pt idx="10">
                  <c:v>Estrategia de IA y evolución futura</c:v>
                </c:pt>
                <c:pt idx="11">
                  <c:v>Implantación, configuración y detalle del alcance</c:v>
                </c:pt>
                <c:pt idx="12">
                  <c:v>Cobertura funcional y sostenibilidad</c:v>
                </c:pt>
                <c:pt idx="13">
                  <c:v>Equipo del proyecto y modelo operativo</c:v>
                </c:pt>
                <c:pt idx="14">
                  <c:v>Convivencia entre el CRM y Galgo</c:v>
                </c:pt>
                <c:pt idx="15">
                  <c:v>Gestión del cambio y adopción</c:v>
                </c:pt>
                <c:pt idx="16">
                  <c:v>Período de Hypercare, Mantenimiento, Cumplimiento de Garantia y propuesta de SLA</c:v>
                </c:pt>
                <c:pt idx="17">
                  <c:v>Estrategia de entornos y seguridad de accesos</c:v>
                </c:pt>
                <c:pt idx="18">
                  <c:v>Defensa de la propuesta y capacidad de transmisión</c:v>
                </c:pt>
              </c:strCache>
            </c:strRef>
          </c:cat>
          <c:val>
            <c:numRef>
              <c:f>'Valoracion Proyecto'!$H$8:$H$26</c:f>
              <c:numCache>
                <c:formatCode>General</c:formatCode>
                <c:ptCount val="1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60-4531-A902-48E5CC9D638E}"/>
            </c:ext>
          </c:extLst>
        </c:ser>
        <c:ser>
          <c:idx val="5"/>
          <c:order val="5"/>
          <c:tx>
            <c:strRef>
              <c:f>{"ACCENTURE FSC"}</c:f>
              <c:strCache>
                <c:ptCount val="1"/>
                <c:pt idx="0">
                  <c:v>ACCENTURE FSC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'Valoracion Proyecto'!$B$8:$B$26</c:f>
              <c:strCache>
                <c:ptCount val="19"/>
                <c:pt idx="0">
                  <c:v>Entendimiento del proyecto y contexto LDA</c:v>
                </c:pt>
                <c:pt idx="1">
                  <c:v>Gobernanza y metodología del proyecto</c:v>
                </c:pt>
                <c:pt idx="2">
                  <c:v>Gestión de alcance y cambios</c:v>
                </c:pt>
                <c:pt idx="3">
                  <c:v>Gestión de riesgos y dependencias</c:v>
                </c:pt>
                <c:pt idx="4">
                  <c:v>Planificación y tiempo de ejecución</c:v>
                </c:pt>
                <c:pt idx="5">
                  <c:v>Arquitectura e integración end-to-end</c:v>
                </c:pt>
                <c:pt idx="6">
                  <c:v>Middleware y desacoplamiento tecnológico</c:v>
                </c:pt>
                <c:pt idx="7">
                  <c:v>Gestión del dato y migración</c:v>
                </c:pt>
                <c:pt idx="8">
                  <c:v>Uso del estándar y control de deuda técnica</c:v>
                </c:pt>
                <c:pt idx="9">
                  <c:v>Aceleradores y capacidad de industrialización</c:v>
                </c:pt>
                <c:pt idx="10">
                  <c:v>Estrategia de IA y evolución futura</c:v>
                </c:pt>
                <c:pt idx="11">
                  <c:v>Implantación, configuración y detalle del alcance</c:v>
                </c:pt>
                <c:pt idx="12">
                  <c:v>Cobertura funcional y sostenibilidad</c:v>
                </c:pt>
                <c:pt idx="13">
                  <c:v>Equipo del proyecto y modelo operativo</c:v>
                </c:pt>
                <c:pt idx="14">
                  <c:v>Convivencia entre el CRM y Galgo</c:v>
                </c:pt>
                <c:pt idx="15">
                  <c:v>Gestión del cambio y adopción</c:v>
                </c:pt>
                <c:pt idx="16">
                  <c:v>Período de Hypercare, Mantenimiento, Cumplimiento de Garantia y propuesta de SLA</c:v>
                </c:pt>
                <c:pt idx="17">
                  <c:v>Estrategia de entornos y seguridad de accesos</c:v>
                </c:pt>
                <c:pt idx="18">
                  <c:v>Defensa de la propuesta y capacidad de transmisión</c:v>
                </c:pt>
              </c:strCache>
            </c:strRef>
          </c:cat>
          <c:val>
            <c:numRef>
              <c:f>'Valoracion Proyecto'!$I$8:$I$26</c:f>
              <c:numCache>
                <c:formatCode>General</c:formatCode>
                <c:ptCount val="19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60-4531-A902-48E5CC9D638E}"/>
            </c:ext>
          </c:extLst>
        </c:ser>
        <c:ser>
          <c:idx val="6"/>
          <c:order val="6"/>
          <c:tx>
            <c:strRef>
              <c:f>{"CAPGEMINI"}</c:f>
              <c:strCache>
                <c:ptCount val="1"/>
                <c:pt idx="0">
                  <c:v>CAPGEMINI</c:v>
                </c:pt>
              </c:strCache>
            </c:strRef>
          </c:tx>
          <c:spPr>
            <a:ln w="28575" cap="rnd">
              <a:solidFill>
                <a:srgbClr val="61CBF3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'Valoracion Proyecto'!$B$8:$B$26</c:f>
              <c:strCache>
                <c:ptCount val="19"/>
                <c:pt idx="0">
                  <c:v>Entendimiento del proyecto y contexto LDA</c:v>
                </c:pt>
                <c:pt idx="1">
                  <c:v>Gobernanza y metodología del proyecto</c:v>
                </c:pt>
                <c:pt idx="2">
                  <c:v>Gestión de alcance y cambios</c:v>
                </c:pt>
                <c:pt idx="3">
                  <c:v>Gestión de riesgos y dependencias</c:v>
                </c:pt>
                <c:pt idx="4">
                  <c:v>Planificación y tiempo de ejecución</c:v>
                </c:pt>
                <c:pt idx="5">
                  <c:v>Arquitectura e integración end-to-end</c:v>
                </c:pt>
                <c:pt idx="6">
                  <c:v>Middleware y desacoplamiento tecnológico</c:v>
                </c:pt>
                <c:pt idx="7">
                  <c:v>Gestión del dato y migración</c:v>
                </c:pt>
                <c:pt idx="8">
                  <c:v>Uso del estándar y control de deuda técnica</c:v>
                </c:pt>
                <c:pt idx="9">
                  <c:v>Aceleradores y capacidad de industrialización</c:v>
                </c:pt>
                <c:pt idx="10">
                  <c:v>Estrategia de IA y evolución futura</c:v>
                </c:pt>
                <c:pt idx="11">
                  <c:v>Implantación, configuración y detalle del alcance</c:v>
                </c:pt>
                <c:pt idx="12">
                  <c:v>Cobertura funcional y sostenibilidad</c:v>
                </c:pt>
                <c:pt idx="13">
                  <c:v>Equipo del proyecto y modelo operativo</c:v>
                </c:pt>
                <c:pt idx="14">
                  <c:v>Convivencia entre el CRM y Galgo</c:v>
                </c:pt>
                <c:pt idx="15">
                  <c:v>Gestión del cambio y adopción</c:v>
                </c:pt>
                <c:pt idx="16">
                  <c:v>Período de Hypercare, Mantenimiento, Cumplimiento de Garantia y propuesta de SLA</c:v>
                </c:pt>
                <c:pt idx="17">
                  <c:v>Estrategia de entornos y seguridad de accesos</c:v>
                </c:pt>
                <c:pt idx="18">
                  <c:v>Defensa de la propuesta y capacidad de transmisión</c:v>
                </c:pt>
              </c:strCache>
            </c:strRef>
          </c:cat>
          <c:val>
            <c:numRef>
              <c:f>'Valoracion Proyecto'!$J$8:$J$26</c:f>
              <c:numCache>
                <c:formatCode>General</c:formatCode>
                <c:ptCount val="19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60-4531-A902-48E5CC9D6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793584"/>
        <c:axId val="768794568"/>
      </c:radarChart>
      <c:catAx>
        <c:axId val="76879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rrovial New Bold" panose="02000806040000020003" pitchFamily="2" charset="0"/>
                <a:ea typeface="+mn-ea"/>
                <a:cs typeface="+mn-cs"/>
              </a:defRPr>
            </a:pPr>
            <a:endParaRPr lang="es-ES"/>
          </a:p>
        </c:txPr>
        <c:crossAx val="768794568"/>
        <c:crosses val="autoZero"/>
        <c:auto val="1"/>
        <c:lblAlgn val="ctr"/>
        <c:lblOffset val="100"/>
        <c:noMultiLvlLbl val="0"/>
      </c:catAx>
      <c:valAx>
        <c:axId val="76879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>
            <a:outerShdw blurRad="50800" dist="50800" dir="5400000" algn="ctr" rotWithShape="0">
              <a:schemeClr val="bg1"/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879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solidFill>
                <a:srgbClr val="0F9ED5"/>
              </a:solidFill>
              <a:prstDash val="solid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errovial New Bold" panose="02000806040000020003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'Valoracion Proyecto'!$L$6:$R$6</c:f>
              <c:strCache>
                <c:ptCount val="7"/>
                <c:pt idx="0">
                  <c:v>AYESA FSC</c:v>
                </c:pt>
                <c:pt idx="1">
                  <c:v>OMEGA FSC</c:v>
                </c:pt>
                <c:pt idx="2">
                  <c:v>OMEGA S&amp;S</c:v>
                </c:pt>
                <c:pt idx="3">
                  <c:v>MINSAIT FSC</c:v>
                </c:pt>
                <c:pt idx="4">
                  <c:v>NTT DATA S&amp;S</c:v>
                </c:pt>
                <c:pt idx="5">
                  <c:v>ACCENTURE</c:v>
                </c:pt>
                <c:pt idx="6">
                  <c:v>CAPGEMINI</c:v>
                </c:pt>
              </c:strCache>
            </c:strRef>
          </c:cat>
          <c:val>
            <c:numRef>
              <c:f>'Valoracion Proyecto'!$L$27:$R$27</c:f>
              <c:numCache>
                <c:formatCode>0.00</c:formatCode>
                <c:ptCount val="7"/>
                <c:pt idx="0">
                  <c:v>3.47</c:v>
                </c:pt>
                <c:pt idx="1">
                  <c:v>4.8000000000000007</c:v>
                </c:pt>
                <c:pt idx="2">
                  <c:v>4.7000000000000011</c:v>
                </c:pt>
                <c:pt idx="3">
                  <c:v>3.8900000000000006</c:v>
                </c:pt>
                <c:pt idx="4">
                  <c:v>3.6500000000000012</c:v>
                </c:pt>
                <c:pt idx="5">
                  <c:v>4.0500000000000007</c:v>
                </c:pt>
                <c:pt idx="6">
                  <c:v>3.620000000000001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3-44EE-A3EC-9FE3D302F9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51348544"/>
        <c:axId val="651349856"/>
      </c:barChart>
      <c:catAx>
        <c:axId val="65134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rrovial New Bold" panose="02000806040000020003" pitchFamily="2" charset="0"/>
                <a:ea typeface="+mn-ea"/>
                <a:cs typeface="+mn-cs"/>
              </a:defRPr>
            </a:pPr>
            <a:endParaRPr lang="es-ES"/>
          </a:p>
        </c:txPr>
        <c:crossAx val="651349856"/>
        <c:crosses val="autoZero"/>
        <c:auto val="1"/>
        <c:lblAlgn val="ctr"/>
        <c:lblOffset val="100"/>
        <c:noMultiLvlLbl val="0"/>
      </c:catAx>
      <c:valAx>
        <c:axId val="6513498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34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Ferrovial New Bold" panose="02000806040000020003" pitchFamily="2" charset="0"/>
              </a:rPr>
              <a:t>Gráfico comparativo</a:t>
            </a:r>
          </a:p>
        </c:rich>
      </c:tx>
      <c:layout>
        <c:manualLayout>
          <c:xMode val="edge"/>
          <c:yMode val="edge"/>
          <c:x val="0.34717450027012425"/>
          <c:y val="2.69121546611660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0836465314793909"/>
          <c:y val="0.20391630201429833"/>
          <c:w val="0.5352974072433323"/>
          <c:h val="0.63997879728334661"/>
        </c:manualLayout>
      </c:layout>
      <c:radarChart>
        <c:radarStyle val="marker"/>
        <c:varyColors val="0"/>
        <c:ser>
          <c:idx val="0"/>
          <c:order val="0"/>
          <c:tx>
            <c:strRef>
              <c:f>'Valoracion GdC'!$D$6</c:f>
              <c:strCache>
                <c:ptCount val="1"/>
                <c:pt idx="0">
                  <c:v>AYESA FSC</c:v>
                </c:pt>
              </c:strCache>
            </c:strRef>
          </c:tx>
          <c:spPr>
            <a:ln w="28575" cap="rnd">
              <a:solidFill>
                <a:srgbClr val="215C98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'Valoracion GdC'!$B$8:$B$14</c:f>
              <c:strCache>
                <c:ptCount val="7"/>
                <c:pt idx="0">
                  <c:v>Assessment inicial de preparación al cambio </c:v>
                </c:pt>
                <c:pt idx="1">
                  <c:v>Coaching operativo y acompañamiento en campo </c:v>
                </c:pt>
                <c:pt idx="2">
                  <c:v>Mapa de stakeholders y gobernanza del cambio </c:v>
                </c:pt>
                <c:pt idx="3">
                  <c:v>Métricas de adopción y reporting </c:v>
                </c:pt>
                <c:pt idx="4">
                  <c:v>Plan de comunicación del cambio </c:v>
                </c:pt>
                <c:pt idx="5">
                  <c:v>Plan de formación y transferencia de conocimiento </c:v>
                </c:pt>
                <c:pt idx="6">
                  <c:v>Plan de sostenibilidad y transición al CoE CRM </c:v>
                </c:pt>
              </c:strCache>
            </c:strRef>
          </c:cat>
          <c:val>
            <c:numRef>
              <c:f>'Valoracion GdC'!$D$8:$D$14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3-4A5C-8173-0899DC7CF79F}"/>
            </c:ext>
          </c:extLst>
        </c:ser>
        <c:ser>
          <c:idx val="1"/>
          <c:order val="1"/>
          <c:tx>
            <c:strRef>
              <c:f>'Valoracion GdC'!$E$6</c:f>
              <c:strCache>
                <c:ptCount val="1"/>
                <c:pt idx="0">
                  <c:v>OMEGA FSC</c:v>
                </c:pt>
              </c:strCache>
            </c:strRef>
          </c:tx>
          <c:spPr>
            <a:ln w="28575" cap="flat" cmpd="sng" algn="ctr">
              <a:solidFill>
                <a:srgbClr val="FF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strRef>
              <c:f>'Valoracion GdC'!$B$8:$B$14</c:f>
              <c:strCache>
                <c:ptCount val="7"/>
                <c:pt idx="0">
                  <c:v>Assessment inicial de preparación al cambio </c:v>
                </c:pt>
                <c:pt idx="1">
                  <c:v>Coaching operativo y acompañamiento en campo </c:v>
                </c:pt>
                <c:pt idx="2">
                  <c:v>Mapa de stakeholders y gobernanza del cambio </c:v>
                </c:pt>
                <c:pt idx="3">
                  <c:v>Métricas de adopción y reporting </c:v>
                </c:pt>
                <c:pt idx="4">
                  <c:v>Plan de comunicación del cambio </c:v>
                </c:pt>
                <c:pt idx="5">
                  <c:v>Plan de formación y transferencia de conocimiento </c:v>
                </c:pt>
                <c:pt idx="6">
                  <c:v>Plan de sostenibilidad y transición al CoE CRM </c:v>
                </c:pt>
              </c:strCache>
            </c:strRef>
          </c:cat>
          <c:val>
            <c:numRef>
              <c:f>'Valoracion GdC'!$E$8:$E$14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63-4A5C-8173-0899DC7CF79F}"/>
            </c:ext>
          </c:extLst>
        </c:ser>
        <c:ser>
          <c:idx val="2"/>
          <c:order val="2"/>
          <c:tx>
            <c:strRef>
              <c:f>{"OMEGA S&amp;S"}</c:f>
              <c:strCache>
                <c:ptCount val="1"/>
                <c:pt idx="0">
                  <c:v>OMEGA S&amp;S</c:v>
                </c:pt>
              </c:strCache>
            </c:strRef>
          </c:tx>
          <c:spPr>
            <a:ln w="28575" cap="flat" cmpd="sng" algn="ctr">
              <a:solidFill>
                <a:srgbClr val="FF0000"/>
              </a:solidFill>
              <a:prstDash val="sysDot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strRef>
              <c:f>'Valoracion GdC'!$B$8:$B$14</c:f>
              <c:strCache>
                <c:ptCount val="7"/>
                <c:pt idx="0">
                  <c:v>Assessment inicial de preparación al cambio </c:v>
                </c:pt>
                <c:pt idx="1">
                  <c:v>Coaching operativo y acompañamiento en campo </c:v>
                </c:pt>
                <c:pt idx="2">
                  <c:v>Mapa de stakeholders y gobernanza del cambio </c:v>
                </c:pt>
                <c:pt idx="3">
                  <c:v>Métricas de adopción y reporting </c:v>
                </c:pt>
                <c:pt idx="4">
                  <c:v>Plan de comunicación del cambio </c:v>
                </c:pt>
                <c:pt idx="5">
                  <c:v>Plan de formación y transferencia de conocimiento </c:v>
                </c:pt>
                <c:pt idx="6">
                  <c:v>Plan de sostenibilidad y transición al CoE CRM </c:v>
                </c:pt>
              </c:strCache>
            </c:strRef>
          </c:cat>
          <c:val>
            <c:numRef>
              <c:f>'Valoracion GdC'!$F$8:$F$14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63-4A5C-8173-0899DC7CF79F}"/>
            </c:ext>
          </c:extLst>
        </c:ser>
        <c:ser>
          <c:idx val="3"/>
          <c:order val="3"/>
          <c:tx>
            <c:strRef>
              <c:f>{"MINSAIT FSC"}</c:f>
              <c:strCache>
                <c:ptCount val="1"/>
                <c:pt idx="0">
                  <c:v>MINSAIT FSC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'Valoracion GdC'!$B$8:$B$14</c:f>
              <c:strCache>
                <c:ptCount val="7"/>
                <c:pt idx="0">
                  <c:v>Assessment inicial de preparación al cambio </c:v>
                </c:pt>
                <c:pt idx="1">
                  <c:v>Coaching operativo y acompañamiento en campo </c:v>
                </c:pt>
                <c:pt idx="2">
                  <c:v>Mapa de stakeholders y gobernanza del cambio </c:v>
                </c:pt>
                <c:pt idx="3">
                  <c:v>Métricas de adopción y reporting </c:v>
                </c:pt>
                <c:pt idx="4">
                  <c:v>Plan de comunicación del cambio </c:v>
                </c:pt>
                <c:pt idx="5">
                  <c:v>Plan de formación y transferencia de conocimiento </c:v>
                </c:pt>
                <c:pt idx="6">
                  <c:v>Plan de sostenibilidad y transición al CoE CRM </c:v>
                </c:pt>
              </c:strCache>
            </c:strRef>
          </c:cat>
          <c:val>
            <c:numRef>
              <c:f>'Valoracion GdC'!$G$8:$G$14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63-4A5C-8173-0899DC7CF79F}"/>
            </c:ext>
          </c:extLst>
        </c:ser>
        <c:ser>
          <c:idx val="4"/>
          <c:order val="4"/>
          <c:tx>
            <c:strRef>
              <c:f>{"NTT DATA S&amp;S"}</c:f>
              <c:strCache>
                <c:ptCount val="1"/>
                <c:pt idx="0">
                  <c:v>NTT DATA S&amp;S</c:v>
                </c:pt>
              </c:strCache>
            </c:strRef>
          </c:tx>
          <c:spPr>
            <a:ln w="28575" cap="rnd">
              <a:solidFill>
                <a:srgbClr val="4D93D9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'Valoracion GdC'!$B$8:$B$14</c:f>
              <c:strCache>
                <c:ptCount val="7"/>
                <c:pt idx="0">
                  <c:v>Assessment inicial de preparación al cambio </c:v>
                </c:pt>
                <c:pt idx="1">
                  <c:v>Coaching operativo y acompañamiento en campo </c:v>
                </c:pt>
                <c:pt idx="2">
                  <c:v>Mapa de stakeholders y gobernanza del cambio </c:v>
                </c:pt>
                <c:pt idx="3">
                  <c:v>Métricas de adopción y reporting </c:v>
                </c:pt>
                <c:pt idx="4">
                  <c:v>Plan de comunicación del cambio </c:v>
                </c:pt>
                <c:pt idx="5">
                  <c:v>Plan de formación y transferencia de conocimiento </c:v>
                </c:pt>
                <c:pt idx="6">
                  <c:v>Plan de sostenibilidad y transición al CoE CRM </c:v>
                </c:pt>
              </c:strCache>
            </c:strRef>
          </c:cat>
          <c:val>
            <c:numRef>
              <c:f>'Valoracion GdC'!$H$8:$H$14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63-4A5C-8173-0899DC7CF79F}"/>
            </c:ext>
          </c:extLst>
        </c:ser>
        <c:ser>
          <c:idx val="5"/>
          <c:order val="5"/>
          <c:tx>
            <c:strRef>
              <c:f>{"ACCENTURE FSC"}</c:f>
              <c:strCache>
                <c:ptCount val="1"/>
                <c:pt idx="0">
                  <c:v>ACCENTURE FSC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'Valoracion GdC'!$B$8:$B$14</c:f>
              <c:strCache>
                <c:ptCount val="7"/>
                <c:pt idx="0">
                  <c:v>Assessment inicial de preparación al cambio </c:v>
                </c:pt>
                <c:pt idx="1">
                  <c:v>Coaching operativo y acompañamiento en campo </c:v>
                </c:pt>
                <c:pt idx="2">
                  <c:v>Mapa de stakeholders y gobernanza del cambio </c:v>
                </c:pt>
                <c:pt idx="3">
                  <c:v>Métricas de adopción y reporting </c:v>
                </c:pt>
                <c:pt idx="4">
                  <c:v>Plan de comunicación del cambio </c:v>
                </c:pt>
                <c:pt idx="5">
                  <c:v>Plan de formación y transferencia de conocimiento </c:v>
                </c:pt>
                <c:pt idx="6">
                  <c:v>Plan de sostenibilidad y transición al CoE CRM </c:v>
                </c:pt>
              </c:strCache>
            </c:strRef>
          </c:cat>
          <c:val>
            <c:numRef>
              <c:f>'Valoracion GdC'!$I$8:$I$14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63-4A5C-8173-0899DC7CF79F}"/>
            </c:ext>
          </c:extLst>
        </c:ser>
        <c:ser>
          <c:idx val="6"/>
          <c:order val="6"/>
          <c:tx>
            <c:strRef>
              <c:f>{"CAPGEMINI"}</c:f>
              <c:strCache>
                <c:ptCount val="1"/>
                <c:pt idx="0">
                  <c:v>CAPGEMINI</c:v>
                </c:pt>
              </c:strCache>
            </c:strRef>
          </c:tx>
          <c:spPr>
            <a:ln w="28575" cap="rnd">
              <a:solidFill>
                <a:srgbClr val="61CBF3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'Valoracion GdC'!$B$8:$B$14</c:f>
              <c:strCache>
                <c:ptCount val="7"/>
                <c:pt idx="0">
                  <c:v>Assessment inicial de preparación al cambio </c:v>
                </c:pt>
                <c:pt idx="1">
                  <c:v>Coaching operativo y acompañamiento en campo </c:v>
                </c:pt>
                <c:pt idx="2">
                  <c:v>Mapa de stakeholders y gobernanza del cambio </c:v>
                </c:pt>
                <c:pt idx="3">
                  <c:v>Métricas de adopción y reporting </c:v>
                </c:pt>
                <c:pt idx="4">
                  <c:v>Plan de comunicación del cambio </c:v>
                </c:pt>
                <c:pt idx="5">
                  <c:v>Plan de formación y transferencia de conocimiento </c:v>
                </c:pt>
                <c:pt idx="6">
                  <c:v>Plan de sostenibilidad y transición al CoE CRM </c:v>
                </c:pt>
              </c:strCache>
            </c:strRef>
          </c:cat>
          <c:val>
            <c:numRef>
              <c:f>'Valoracion GdC'!$J$8:$J$14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63-4A5C-8173-0899DC7CF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793584"/>
        <c:axId val="768794568"/>
      </c:radarChart>
      <c:catAx>
        <c:axId val="76879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rrovial New Bold" panose="02000806040000020003" pitchFamily="2" charset="0"/>
                <a:ea typeface="+mn-ea"/>
                <a:cs typeface="+mn-cs"/>
              </a:defRPr>
            </a:pPr>
            <a:endParaRPr lang="es-ES"/>
          </a:p>
        </c:txPr>
        <c:crossAx val="768794568"/>
        <c:crosses val="autoZero"/>
        <c:auto val="1"/>
        <c:lblAlgn val="ctr"/>
        <c:lblOffset val="100"/>
        <c:noMultiLvlLbl val="0"/>
      </c:catAx>
      <c:valAx>
        <c:axId val="76879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>
            <a:outerShdw blurRad="50800" dist="50800" dir="5400000" algn="ctr" rotWithShape="0">
              <a:schemeClr val="bg1"/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879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solidFill>
                <a:srgbClr val="0F9ED5"/>
              </a:solidFill>
              <a:prstDash val="solid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errovial New Bold" panose="02000806040000020003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'Valoracion GdC'!$L$6:$R$6</c:f>
              <c:strCache>
                <c:ptCount val="7"/>
                <c:pt idx="0">
                  <c:v>AYESA FSC</c:v>
                </c:pt>
                <c:pt idx="1">
                  <c:v>OMEGA FSC</c:v>
                </c:pt>
                <c:pt idx="2">
                  <c:v>OMEGA S&amp;S</c:v>
                </c:pt>
                <c:pt idx="3">
                  <c:v>MINSAIT FSC</c:v>
                </c:pt>
                <c:pt idx="4">
                  <c:v>NTT DATA S&amp;S</c:v>
                </c:pt>
                <c:pt idx="5">
                  <c:v>ACCENTURE</c:v>
                </c:pt>
                <c:pt idx="6">
                  <c:v>CAPGEMINI</c:v>
                </c:pt>
              </c:strCache>
            </c:strRef>
          </c:cat>
          <c:val>
            <c:numRef>
              <c:f>'Valoracion GdC'!$L$15:$R$15</c:f>
              <c:numCache>
                <c:formatCode>0.00</c:formatCode>
                <c:ptCount val="7"/>
                <c:pt idx="0">
                  <c:v>3.05</c:v>
                </c:pt>
                <c:pt idx="1">
                  <c:v>4.3500000000000005</c:v>
                </c:pt>
                <c:pt idx="2">
                  <c:v>4.3500000000000005</c:v>
                </c:pt>
                <c:pt idx="3">
                  <c:v>3.25</c:v>
                </c:pt>
                <c:pt idx="4">
                  <c:v>3.5</c:v>
                </c:pt>
                <c:pt idx="5">
                  <c:v>4.25</c:v>
                </c:pt>
                <c:pt idx="6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D-436E-A30A-AD7B39F102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51348544"/>
        <c:axId val="651349856"/>
      </c:barChart>
      <c:catAx>
        <c:axId val="65134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rrovial New Bold" panose="02000806040000020003" pitchFamily="2" charset="0"/>
                <a:ea typeface="+mn-ea"/>
                <a:cs typeface="+mn-cs"/>
              </a:defRPr>
            </a:pPr>
            <a:endParaRPr lang="es-ES"/>
          </a:p>
        </c:txPr>
        <c:crossAx val="651349856"/>
        <c:crosses val="autoZero"/>
        <c:auto val="1"/>
        <c:lblAlgn val="ctr"/>
        <c:lblOffset val="100"/>
        <c:noMultiLvlLbl val="0"/>
      </c:catAx>
      <c:valAx>
        <c:axId val="6513498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34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Ferrovial New Bold" panose="02000806040000020003" pitchFamily="2" charset="0"/>
              </a:rPr>
              <a:t>Gráfico comparativo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0836465314793909"/>
          <c:y val="0.20391630201429833"/>
          <c:w val="0.5352974072433323"/>
          <c:h val="0.63997879728334661"/>
        </c:manualLayout>
      </c:layout>
      <c:radarChart>
        <c:radarStyle val="marker"/>
        <c:varyColors val="0"/>
        <c:ser>
          <c:idx val="0"/>
          <c:order val="0"/>
          <c:tx>
            <c:strRef>
              <c:f>'Valoracion Plataforma'!$D$7</c:f>
              <c:strCache>
                <c:ptCount val="1"/>
                <c:pt idx="0">
                  <c:v>Dynamics 365</c:v>
                </c:pt>
              </c:strCache>
            </c:strRef>
          </c:tx>
          <c:spPr>
            <a:ln w="28575" cap="rnd">
              <a:solidFill>
                <a:srgbClr val="D86DCD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'Valoracion Plataforma'!$B$9:$B$23</c:f>
              <c:strCache>
                <c:ptCount val="15"/>
                <c:pt idx="0">
                  <c:v>Funcionalidades CRM</c:v>
                </c:pt>
                <c:pt idx="1">
                  <c:v>Funcionalidades Vertical Seguros</c:v>
                </c:pt>
                <c:pt idx="2">
                  <c:v>Aceleradores Low-Code</c:v>
                </c:pt>
                <c:pt idx="3">
                  <c:v>Seguridad y cumplimiento​</c:v>
                </c:pt>
                <c:pt idx="4">
                  <c:v>Integración con sistemas internos​</c:v>
                </c:pt>
                <c:pt idx="5">
                  <c:v>Integración con canales digitales​</c:v>
                </c:pt>
                <c:pt idx="6">
                  <c:v>Personalización y automatización​</c:v>
                </c:pt>
                <c:pt idx="7">
                  <c:v>Arquitectura y ecosistema​</c:v>
                </c:pt>
                <c:pt idx="8">
                  <c:v>Administración y mantenimiento​</c:v>
                </c:pt>
                <c:pt idx="9">
                  <c:v>Flexibilidad y adaptabilidad​</c:v>
                </c:pt>
                <c:pt idx="10">
                  <c:v>Gestión de accesos y perfilado​ </c:v>
                </c:pt>
                <c:pt idx="11">
                  <c:v>Escalabilidad</c:v>
                </c:pt>
                <c:pt idx="12">
                  <c:v>Capacidades de IA</c:v>
                </c:pt>
                <c:pt idx="13">
                  <c:v>Road Map del Fabricante</c:v>
                </c:pt>
                <c:pt idx="14">
                  <c:v>Marketplace</c:v>
                </c:pt>
              </c:strCache>
            </c:strRef>
          </c:cat>
          <c:val>
            <c:numRef>
              <c:f>'Valoracion Plataforma'!$D$9:$D$23</c:f>
              <c:numCache>
                <c:formatCode>General</c:formatCode>
                <c:ptCount val="15"/>
                <c:pt idx="0">
                  <c:v>5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3-499D-A55A-94518EBBE9DD}"/>
            </c:ext>
          </c:extLst>
        </c:ser>
        <c:ser>
          <c:idx val="1"/>
          <c:order val="1"/>
          <c:tx>
            <c:strRef>
              <c:f>'Valoracion Plataforma'!$E$7</c:f>
              <c:strCache>
                <c:ptCount val="1"/>
                <c:pt idx="0">
                  <c:v>S&amp;S</c:v>
                </c:pt>
              </c:strCache>
            </c:strRef>
          </c:tx>
          <c:spPr>
            <a:ln w="28575" cap="rnd">
              <a:solidFill>
                <a:srgbClr val="4D93D9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'Valoracion Plataforma'!$B$9:$B$23</c:f>
              <c:strCache>
                <c:ptCount val="15"/>
                <c:pt idx="0">
                  <c:v>Funcionalidades CRM</c:v>
                </c:pt>
                <c:pt idx="1">
                  <c:v>Funcionalidades Vertical Seguros</c:v>
                </c:pt>
                <c:pt idx="2">
                  <c:v>Aceleradores Low-Code</c:v>
                </c:pt>
                <c:pt idx="3">
                  <c:v>Seguridad y cumplimiento​</c:v>
                </c:pt>
                <c:pt idx="4">
                  <c:v>Integración con sistemas internos​</c:v>
                </c:pt>
                <c:pt idx="5">
                  <c:v>Integración con canales digitales​</c:v>
                </c:pt>
                <c:pt idx="6">
                  <c:v>Personalización y automatización​</c:v>
                </c:pt>
                <c:pt idx="7">
                  <c:v>Arquitectura y ecosistema​</c:v>
                </c:pt>
                <c:pt idx="8">
                  <c:v>Administración y mantenimiento​</c:v>
                </c:pt>
                <c:pt idx="9">
                  <c:v>Flexibilidad y adaptabilidad​</c:v>
                </c:pt>
                <c:pt idx="10">
                  <c:v>Gestión de accesos y perfilado​ </c:v>
                </c:pt>
                <c:pt idx="11">
                  <c:v>Escalabilidad</c:v>
                </c:pt>
                <c:pt idx="12">
                  <c:v>Capacidades de IA</c:v>
                </c:pt>
                <c:pt idx="13">
                  <c:v>Road Map del Fabricante</c:v>
                </c:pt>
                <c:pt idx="14">
                  <c:v>Marketplace</c:v>
                </c:pt>
              </c:strCache>
            </c:strRef>
          </c:cat>
          <c:val>
            <c:numRef>
              <c:f>'Valoracion Plataforma'!$E$9:$E$23</c:f>
              <c:numCache>
                <c:formatCode>General</c:formatCode>
                <c:ptCount val="15"/>
                <c:pt idx="0">
                  <c:v>5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3-499D-A55A-94518EBBE9DD}"/>
            </c:ext>
          </c:extLst>
        </c:ser>
        <c:ser>
          <c:idx val="2"/>
          <c:order val="2"/>
          <c:tx>
            <c:strRef>
              <c:f>'Valoracion Plataforma'!$F$7</c:f>
              <c:strCache>
                <c:ptCount val="1"/>
                <c:pt idx="0">
                  <c:v>FSC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'Valoracion Plataforma'!$B$9:$B$23</c:f>
              <c:strCache>
                <c:ptCount val="15"/>
                <c:pt idx="0">
                  <c:v>Funcionalidades CRM</c:v>
                </c:pt>
                <c:pt idx="1">
                  <c:v>Funcionalidades Vertical Seguros</c:v>
                </c:pt>
                <c:pt idx="2">
                  <c:v>Aceleradores Low-Code</c:v>
                </c:pt>
                <c:pt idx="3">
                  <c:v>Seguridad y cumplimiento​</c:v>
                </c:pt>
                <c:pt idx="4">
                  <c:v>Integración con sistemas internos​</c:v>
                </c:pt>
                <c:pt idx="5">
                  <c:v>Integración con canales digitales​</c:v>
                </c:pt>
                <c:pt idx="6">
                  <c:v>Personalización y automatización​</c:v>
                </c:pt>
                <c:pt idx="7">
                  <c:v>Arquitectura y ecosistema​</c:v>
                </c:pt>
                <c:pt idx="8">
                  <c:v>Administración y mantenimiento​</c:v>
                </c:pt>
                <c:pt idx="9">
                  <c:v>Flexibilidad y adaptabilidad​</c:v>
                </c:pt>
                <c:pt idx="10">
                  <c:v>Gestión de accesos y perfilado​ </c:v>
                </c:pt>
                <c:pt idx="11">
                  <c:v>Escalabilidad</c:v>
                </c:pt>
                <c:pt idx="12">
                  <c:v>Capacidades de IA</c:v>
                </c:pt>
                <c:pt idx="13">
                  <c:v>Road Map del Fabricante</c:v>
                </c:pt>
                <c:pt idx="14">
                  <c:v>Marketplace</c:v>
                </c:pt>
              </c:strCache>
            </c:strRef>
          </c:cat>
          <c:val>
            <c:numRef>
              <c:f>'Valoracion Plataforma'!$F$9:$F$23</c:f>
              <c:numCache>
                <c:formatCode>General</c:formatCode>
                <c:ptCount val="15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B-47AD-A4C6-D5106C3E5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793584"/>
        <c:axId val="768794568"/>
      </c:radarChart>
      <c:catAx>
        <c:axId val="76879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rrovial New Bold" panose="02000806040000020003" pitchFamily="2" charset="0"/>
                <a:ea typeface="+mn-ea"/>
                <a:cs typeface="+mn-cs"/>
              </a:defRPr>
            </a:pPr>
            <a:endParaRPr lang="es-ES"/>
          </a:p>
        </c:txPr>
        <c:crossAx val="768794568"/>
        <c:crosses val="autoZero"/>
        <c:auto val="1"/>
        <c:lblAlgn val="ctr"/>
        <c:lblOffset val="100"/>
        <c:noMultiLvlLbl val="0"/>
      </c:catAx>
      <c:valAx>
        <c:axId val="76879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>
                <a:lumMod val="75000"/>
              </a:schemeClr>
            </a:solidFill>
          </a:ln>
          <a:effectLst>
            <a:outerShdw blurRad="50800" dist="50800" dir="5400000" algn="ctr" rotWithShape="0">
              <a:schemeClr val="bg1"/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879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errovial New Bold" panose="02000806040000020003" pitchFamily="2" charset="0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'Valoracion Plataforma'!$H$7:$J$7</c:f>
              <c:strCache>
                <c:ptCount val="3"/>
                <c:pt idx="0">
                  <c:v>Dynamics 365</c:v>
                </c:pt>
                <c:pt idx="1">
                  <c:v>S&amp;S</c:v>
                </c:pt>
                <c:pt idx="2">
                  <c:v>FSC</c:v>
                </c:pt>
              </c:strCache>
            </c:strRef>
          </c:cat>
          <c:val>
            <c:numRef>
              <c:f>'Valoracion Plataforma'!$H$24:$J$24</c:f>
              <c:numCache>
                <c:formatCode>0.00</c:formatCode>
                <c:ptCount val="3"/>
                <c:pt idx="0">
                  <c:v>3.600000000000001</c:v>
                </c:pt>
                <c:pt idx="1">
                  <c:v>3.94</c:v>
                </c:pt>
                <c:pt idx="2">
                  <c:v>4.2100000000000009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4-4781-AF73-3554B2247E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51348544"/>
        <c:axId val="651349856"/>
      </c:barChart>
      <c:catAx>
        <c:axId val="65134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rrovial New Bold" panose="02000806040000020003" pitchFamily="2" charset="0"/>
                <a:ea typeface="+mn-ea"/>
                <a:cs typeface="+mn-cs"/>
              </a:defRPr>
            </a:pPr>
            <a:endParaRPr lang="es-ES"/>
          </a:p>
        </c:txPr>
        <c:crossAx val="651349856"/>
        <c:crosses val="autoZero"/>
        <c:auto val="1"/>
        <c:lblAlgn val="ctr"/>
        <c:lblOffset val="100"/>
        <c:noMultiLvlLbl val="0"/>
      </c:catAx>
      <c:valAx>
        <c:axId val="65134985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34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563095</xdr:colOff>
      <xdr:row>3</xdr:row>
      <xdr:rowOff>283228</xdr:rowOff>
    </xdr:from>
    <xdr:to>
      <xdr:col>24</xdr:col>
      <xdr:colOff>763120</xdr:colOff>
      <xdr:row>32</xdr:row>
      <xdr:rowOff>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06A910FC-3B4D-4490-AA11-4303FEE0F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209550</xdr:colOff>
      <xdr:row>27</xdr:row>
      <xdr:rowOff>171450</xdr:rowOff>
    </xdr:from>
    <xdr:to>
      <xdr:col>18</xdr:col>
      <xdr:colOff>9525</xdr:colOff>
      <xdr:row>44</xdr:row>
      <xdr:rowOff>76200</xdr:rowOff>
    </xdr:to>
    <xdr:graphicFrame macro="">
      <xdr:nvGraphicFramePr>
        <xdr:cNvPr id="8" name="Gráfico 2">
          <a:extLst>
            <a:ext uri="{FF2B5EF4-FFF2-40B4-BE49-F238E27FC236}">
              <a16:creationId xmlns:a16="http://schemas.microsoft.com/office/drawing/2014/main" id="{98CC084B-A0FF-4FC8-B77D-381E6F99D8CE}"/>
            </a:ext>
            <a:ext uri="{147F2762-F138-4A5C-976F-8EAC2B608ADB}">
              <a16:predDERef xmlns:a16="http://schemas.microsoft.com/office/drawing/2014/main" pred="{06A910FC-3B4D-4490-AA11-4303FEE0F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33618</xdr:colOff>
      <xdr:row>0</xdr:row>
      <xdr:rowOff>111499</xdr:rowOff>
    </xdr:from>
    <xdr:to>
      <xdr:col>1</xdr:col>
      <xdr:colOff>876374</xdr:colOff>
      <xdr:row>6</xdr:row>
      <xdr:rowOff>1008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2CC5118A-D8F2-4162-B88A-CE9212218C34}"/>
            </a:ext>
            <a:ext uri="{147F2762-F138-4A5C-976F-8EAC2B608ADB}">
              <a16:predDERef xmlns:a16="http://schemas.microsoft.com/office/drawing/2014/main" pred="{98CC084B-A0FF-4FC8-B77D-381E6F99D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43" y="111499"/>
          <a:ext cx="842756" cy="7314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563095</xdr:colOff>
      <xdr:row>3</xdr:row>
      <xdr:rowOff>283228</xdr:rowOff>
    </xdr:from>
    <xdr:to>
      <xdr:col>24</xdr:col>
      <xdr:colOff>763120</xdr:colOff>
      <xdr:row>20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D53EE6-C6AD-4D53-A0B9-52EE78DFE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209550</xdr:colOff>
      <xdr:row>15</xdr:row>
      <xdr:rowOff>171450</xdr:rowOff>
    </xdr:from>
    <xdr:to>
      <xdr:col>18</xdr:col>
      <xdr:colOff>9525</xdr:colOff>
      <xdr:row>32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B83450-9101-4A54-A95A-988A105DE5C6}"/>
            </a:ext>
            <a:ext uri="{147F2762-F138-4A5C-976F-8EAC2B608ADB}">
              <a16:predDERef xmlns:a16="http://schemas.microsoft.com/office/drawing/2014/main" pred="{06A910FC-3B4D-4490-AA11-4303FEE0F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33618</xdr:colOff>
      <xdr:row>0</xdr:row>
      <xdr:rowOff>111499</xdr:rowOff>
    </xdr:from>
    <xdr:to>
      <xdr:col>1</xdr:col>
      <xdr:colOff>876374</xdr:colOff>
      <xdr:row>6</xdr:row>
      <xdr:rowOff>1008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F3CC94E1-43E9-4307-B627-00C59B12D098}"/>
            </a:ext>
            <a:ext uri="{147F2762-F138-4A5C-976F-8EAC2B608ADB}">
              <a16:predDERef xmlns:a16="http://schemas.microsoft.com/office/drawing/2014/main" pred="{98CC084B-A0FF-4FC8-B77D-381E6F99D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163" y="111499"/>
          <a:ext cx="844661" cy="7277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344020</xdr:colOff>
      <xdr:row>0</xdr:row>
      <xdr:rowOff>140353</xdr:rowOff>
    </xdr:from>
    <xdr:to>
      <xdr:col>15</xdr:col>
      <xdr:colOff>544045</xdr:colOff>
      <xdr:row>27</xdr:row>
      <xdr:rowOff>0</xdr:rowOff>
    </xdr:to>
    <xdr:graphicFrame macro="">
      <xdr:nvGraphicFramePr>
        <xdr:cNvPr id="27" name="Gráfico 1">
          <a:extLst>
            <a:ext uri="{FF2B5EF4-FFF2-40B4-BE49-F238E27FC236}">
              <a16:creationId xmlns:a16="http://schemas.microsoft.com/office/drawing/2014/main" id="{A48FA053-9156-450B-9147-105BF9579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351865</xdr:colOff>
      <xdr:row>27</xdr:row>
      <xdr:rowOff>0</xdr:rowOff>
    </xdr:from>
    <xdr:to>
      <xdr:col>15</xdr:col>
      <xdr:colOff>542365</xdr:colOff>
      <xdr:row>41</xdr:row>
      <xdr:rowOff>75080</xdr:rowOff>
    </xdr:to>
    <xdr:graphicFrame macro="">
      <xdr:nvGraphicFramePr>
        <xdr:cNvPr id="21" name="Gráfico 2">
          <a:extLst>
            <a:ext uri="{FF2B5EF4-FFF2-40B4-BE49-F238E27FC236}">
              <a16:creationId xmlns:a16="http://schemas.microsoft.com/office/drawing/2014/main" id="{DA478990-3E81-4009-8294-0F5E230C2885}"/>
            </a:ext>
            <a:ext uri="{147F2762-F138-4A5C-976F-8EAC2B608ADB}">
              <a16:predDERef xmlns:a16="http://schemas.microsoft.com/office/drawing/2014/main" pred="{A48FA053-9156-450B-9147-105BF9579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33618</xdr:colOff>
      <xdr:row>0</xdr:row>
      <xdr:rowOff>111499</xdr:rowOff>
    </xdr:from>
    <xdr:to>
      <xdr:col>1</xdr:col>
      <xdr:colOff>876374</xdr:colOff>
      <xdr:row>4</xdr:row>
      <xdr:rowOff>280968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842D450-D017-4331-BB6C-E7C149708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853" y="111499"/>
          <a:ext cx="842756" cy="713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9C39B8-BA15-4B0C-AE90-05DCAA8B6A7E}">
  <we:reference id="wa200003696" version="1.3.0.0" store="es-ES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0784-6549-4520-8DC2-32993601FED7}">
  <sheetPr>
    <outlinePr summaryBelow="0" summaryRight="0"/>
  </sheetPr>
  <dimension ref="A1:R46"/>
  <sheetViews>
    <sheetView showGridLines="0" topLeftCell="E26" zoomScale="85" zoomScaleNormal="85" workbookViewId="0">
      <selection activeCell="D8" sqref="D8"/>
    </sheetView>
  </sheetViews>
  <sheetFormatPr defaultColWidth="17.140625" defaultRowHeight="14.45"/>
  <cols>
    <col min="1" max="1" width="2.42578125" style="50" customWidth="1"/>
    <col min="2" max="2" width="50.140625" style="50" customWidth="1"/>
    <col min="3" max="3" width="8" style="73" bestFit="1" customWidth="1"/>
    <col min="4" max="4" width="12.5703125" style="50" bestFit="1" customWidth="1"/>
    <col min="5" max="6" width="13" style="50" bestFit="1" customWidth="1"/>
    <col min="7" max="7" width="13.140625" style="50" bestFit="1" customWidth="1"/>
    <col min="8" max="8" width="15.140625" style="50" bestFit="1" customWidth="1"/>
    <col min="9" max="9" width="16.5703125" style="50" customWidth="1"/>
    <col min="10" max="10" width="12.140625" style="50" bestFit="1" customWidth="1"/>
    <col min="11" max="11" width="3.140625" style="50" customWidth="1"/>
    <col min="12" max="12" width="11.140625" style="50" bestFit="1" customWidth="1"/>
    <col min="13" max="13" width="12.42578125" style="50" bestFit="1" customWidth="1"/>
    <col min="14" max="14" width="13" style="50" bestFit="1" customWidth="1"/>
    <col min="15" max="15" width="13.140625" style="50" bestFit="1" customWidth="1"/>
    <col min="16" max="16" width="15.140625" style="50" bestFit="1" customWidth="1"/>
    <col min="17" max="17" width="12.5703125" style="50" bestFit="1" customWidth="1"/>
    <col min="18" max="18" width="12.140625" style="50" bestFit="1" customWidth="1"/>
    <col min="19" max="19" width="3.42578125" style="50" customWidth="1"/>
    <col min="20" max="20" width="24.5703125" style="50" customWidth="1"/>
    <col min="21" max="26" width="15.140625" style="50" customWidth="1"/>
    <col min="27" max="16384" width="17.140625" style="50"/>
  </cols>
  <sheetData>
    <row r="1" spans="1:18" ht="9" customHeight="1">
      <c r="A1" s="53"/>
      <c r="B1" s="2"/>
      <c r="C1" s="7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8" s="51" customFormat="1" ht="7.5" customHeight="1">
      <c r="A2" s="54"/>
      <c r="C2" s="72"/>
      <c r="K2" s="54"/>
      <c r="L2" s="54"/>
      <c r="M2" s="54"/>
    </row>
    <row r="3" spans="1:18" ht="4.5" customHeight="1">
      <c r="A3" s="53"/>
      <c r="K3" s="53"/>
      <c r="M3" s="55"/>
      <c r="N3" s="51"/>
    </row>
    <row r="4" spans="1:18" ht="23.25" customHeight="1">
      <c r="A4" s="53"/>
      <c r="C4" s="80" t="s">
        <v>0</v>
      </c>
      <c r="D4" s="80"/>
      <c r="E4" s="80"/>
      <c r="F4" s="56"/>
      <c r="G4" s="56"/>
      <c r="H4" s="56"/>
      <c r="I4" s="56"/>
      <c r="J4" s="56"/>
      <c r="K4" s="53"/>
      <c r="L4" s="81" t="s">
        <v>1</v>
      </c>
      <c r="M4" s="82"/>
      <c r="N4" s="82"/>
      <c r="O4" s="82"/>
      <c r="P4" s="82"/>
      <c r="Q4" s="82"/>
      <c r="R4" s="82"/>
    </row>
    <row r="5" spans="1:18" ht="6.75" customHeight="1">
      <c r="A5" s="53"/>
      <c r="B5" s="57"/>
      <c r="C5" s="74"/>
      <c r="D5" s="58"/>
      <c r="E5" s="58"/>
      <c r="F5" s="58"/>
      <c r="G5" s="58"/>
      <c r="H5" s="58"/>
      <c r="I5" s="58"/>
      <c r="J5" s="58"/>
      <c r="K5" s="53"/>
      <c r="L5" s="83"/>
      <c r="M5" s="84"/>
      <c r="N5" s="84"/>
      <c r="O5" s="84"/>
      <c r="P5" s="84"/>
      <c r="Q5" s="84"/>
      <c r="R5" s="84"/>
    </row>
    <row r="6" spans="1:18" s="52" customFormat="1" ht="15.6">
      <c r="A6" s="59"/>
      <c r="B6" s="60" t="s">
        <v>2</v>
      </c>
      <c r="C6" s="61" t="s">
        <v>3</v>
      </c>
      <c r="D6" s="67" t="s">
        <v>4</v>
      </c>
      <c r="E6" s="67" t="s">
        <v>5</v>
      </c>
      <c r="F6" s="67" t="s">
        <v>6</v>
      </c>
      <c r="G6" s="67" t="s">
        <v>7</v>
      </c>
      <c r="H6" s="67" t="s">
        <v>8</v>
      </c>
      <c r="I6" s="67" t="s">
        <v>9</v>
      </c>
      <c r="J6" s="67" t="s">
        <v>10</v>
      </c>
      <c r="K6" s="63"/>
      <c r="L6" s="62" t="s">
        <v>4</v>
      </c>
      <c r="M6" s="62" t="s">
        <v>5</v>
      </c>
      <c r="N6" s="62" t="s">
        <v>6</v>
      </c>
      <c r="O6" s="62" t="s">
        <v>7</v>
      </c>
      <c r="P6" s="62" t="s">
        <v>8</v>
      </c>
      <c r="Q6" s="62" t="s">
        <v>11</v>
      </c>
      <c r="R6" s="62" t="s">
        <v>10</v>
      </c>
    </row>
    <row r="7" spans="1:18" ht="15.6">
      <c r="A7" s="53"/>
      <c r="B7" s="6" t="s">
        <v>12</v>
      </c>
      <c r="C7" s="68">
        <f>SUM(C8:C26)</f>
        <v>1.0000000000000002</v>
      </c>
      <c r="D7" s="77"/>
      <c r="E7" s="77"/>
      <c r="F7" s="77"/>
      <c r="G7" s="77"/>
      <c r="H7" s="77"/>
      <c r="I7" s="77"/>
      <c r="J7" s="77"/>
      <c r="K7" s="48"/>
      <c r="L7" s="10"/>
      <c r="M7" s="10"/>
      <c r="N7" s="10"/>
      <c r="O7" s="10"/>
      <c r="P7" s="10"/>
      <c r="Q7" s="10"/>
      <c r="R7" s="10"/>
    </row>
    <row r="8" spans="1:18" ht="16.5" customHeight="1">
      <c r="A8" s="53"/>
      <c r="B8" s="11" t="s">
        <v>13</v>
      </c>
      <c r="C8" s="75">
        <v>0.05</v>
      </c>
      <c r="D8" s="66">
        <v>3</v>
      </c>
      <c r="E8" s="66">
        <v>5</v>
      </c>
      <c r="F8" s="66">
        <v>5</v>
      </c>
      <c r="G8" s="66">
        <v>5</v>
      </c>
      <c r="H8" s="66">
        <v>4</v>
      </c>
      <c r="I8" s="66">
        <v>5</v>
      </c>
      <c r="J8" s="66">
        <v>3</v>
      </c>
      <c r="K8" s="14"/>
      <c r="L8" s="15">
        <f>D8*$C8</f>
        <v>0.15000000000000002</v>
      </c>
      <c r="M8" s="15">
        <f>E8*$C8</f>
        <v>0.25</v>
      </c>
      <c r="N8" s="15">
        <f>F8*$C8</f>
        <v>0.25</v>
      </c>
      <c r="O8" s="15">
        <f>G8*$C8</f>
        <v>0.25</v>
      </c>
      <c r="P8" s="15">
        <f>H8*$C8</f>
        <v>0.2</v>
      </c>
      <c r="Q8" s="15">
        <f t="shared" ref="Q8:Q26" si="0">I8*$C8</f>
        <v>0.25</v>
      </c>
      <c r="R8" s="15">
        <f>J8*$C8</f>
        <v>0.15000000000000002</v>
      </c>
    </row>
    <row r="9" spans="1:18" ht="15.6">
      <c r="A9" s="53"/>
      <c r="B9" s="11" t="s">
        <v>14</v>
      </c>
      <c r="C9" s="75">
        <v>0.04</v>
      </c>
      <c r="D9" s="66">
        <v>4</v>
      </c>
      <c r="E9" s="66">
        <v>5</v>
      </c>
      <c r="F9" s="66">
        <v>5</v>
      </c>
      <c r="G9" s="66">
        <v>4</v>
      </c>
      <c r="H9" s="66">
        <v>4</v>
      </c>
      <c r="I9" s="66">
        <v>5</v>
      </c>
      <c r="J9" s="66">
        <v>4</v>
      </c>
      <c r="K9" s="14"/>
      <c r="L9" s="15">
        <f t="shared" ref="L9:L26" si="1">D9*$C9</f>
        <v>0.16</v>
      </c>
      <c r="M9" s="15">
        <f t="shared" ref="M9:M26" si="2">E9*$C9</f>
        <v>0.2</v>
      </c>
      <c r="N9" s="15">
        <f t="shared" ref="N9:N26" si="3">F9*$C9</f>
        <v>0.2</v>
      </c>
      <c r="O9" s="15">
        <f t="shared" ref="O9:O26" si="4">G9*$C9</f>
        <v>0.16</v>
      </c>
      <c r="P9" s="15">
        <f t="shared" ref="P9:P26" si="5">H9*$C9</f>
        <v>0.16</v>
      </c>
      <c r="Q9" s="15">
        <f t="shared" si="0"/>
        <v>0.2</v>
      </c>
      <c r="R9" s="15">
        <f t="shared" ref="R9:R26" si="6">J9*$C9</f>
        <v>0.16</v>
      </c>
    </row>
    <row r="10" spans="1:18" ht="15.6">
      <c r="A10" s="53"/>
      <c r="B10" s="11" t="s">
        <v>15</v>
      </c>
      <c r="C10" s="75">
        <v>0.08</v>
      </c>
      <c r="D10" s="66">
        <v>3</v>
      </c>
      <c r="E10" s="66">
        <v>4</v>
      </c>
      <c r="F10" s="66">
        <v>4</v>
      </c>
      <c r="G10" s="66">
        <v>3</v>
      </c>
      <c r="H10" s="66">
        <v>4</v>
      </c>
      <c r="I10" s="66">
        <v>3</v>
      </c>
      <c r="J10" s="66">
        <v>4</v>
      </c>
      <c r="K10" s="14"/>
      <c r="L10" s="15">
        <f t="shared" si="1"/>
        <v>0.24</v>
      </c>
      <c r="M10" s="15">
        <f>E10*$C10</f>
        <v>0.32</v>
      </c>
      <c r="N10" s="15">
        <f t="shared" si="3"/>
        <v>0.32</v>
      </c>
      <c r="O10" s="15">
        <f t="shared" si="4"/>
        <v>0.24</v>
      </c>
      <c r="P10" s="15">
        <f t="shared" si="5"/>
        <v>0.32</v>
      </c>
      <c r="Q10" s="15">
        <f t="shared" si="0"/>
        <v>0.24</v>
      </c>
      <c r="R10" s="15">
        <f t="shared" si="6"/>
        <v>0.32</v>
      </c>
    </row>
    <row r="11" spans="1:18" ht="15.6">
      <c r="A11" s="53"/>
      <c r="B11" s="11" t="s">
        <v>16</v>
      </c>
      <c r="C11" s="75">
        <v>0.08</v>
      </c>
      <c r="D11" s="66">
        <v>5</v>
      </c>
      <c r="E11" s="66">
        <v>5</v>
      </c>
      <c r="F11" s="66">
        <v>5</v>
      </c>
      <c r="G11" s="66">
        <v>4</v>
      </c>
      <c r="H11" s="66">
        <v>4</v>
      </c>
      <c r="I11" s="66">
        <v>3</v>
      </c>
      <c r="J11" s="66">
        <v>4</v>
      </c>
      <c r="K11" s="14"/>
      <c r="L11" s="15">
        <f t="shared" si="1"/>
        <v>0.4</v>
      </c>
      <c r="M11" s="15">
        <f t="shared" si="2"/>
        <v>0.4</v>
      </c>
      <c r="N11" s="15">
        <f t="shared" si="3"/>
        <v>0.4</v>
      </c>
      <c r="O11" s="15">
        <f t="shared" si="4"/>
        <v>0.32</v>
      </c>
      <c r="P11" s="15">
        <f t="shared" si="5"/>
        <v>0.32</v>
      </c>
      <c r="Q11" s="15">
        <f t="shared" si="0"/>
        <v>0.24</v>
      </c>
      <c r="R11" s="15">
        <f t="shared" si="6"/>
        <v>0.32</v>
      </c>
    </row>
    <row r="12" spans="1:18" ht="15.6">
      <c r="A12" s="53"/>
      <c r="B12" s="11" t="s">
        <v>17</v>
      </c>
      <c r="C12" s="75">
        <v>0.03</v>
      </c>
      <c r="D12" s="66">
        <v>4</v>
      </c>
      <c r="E12" s="66">
        <v>5</v>
      </c>
      <c r="F12" s="66">
        <v>5</v>
      </c>
      <c r="G12" s="66">
        <v>3</v>
      </c>
      <c r="H12" s="66">
        <v>1</v>
      </c>
      <c r="I12" s="66">
        <v>4</v>
      </c>
      <c r="J12" s="66">
        <v>4</v>
      </c>
      <c r="K12" s="14"/>
      <c r="L12" s="15">
        <f>D12*$C12</f>
        <v>0.12</v>
      </c>
      <c r="M12" s="15">
        <f t="shared" si="2"/>
        <v>0.15</v>
      </c>
      <c r="N12" s="15">
        <f t="shared" si="3"/>
        <v>0.15</v>
      </c>
      <c r="O12" s="15">
        <f t="shared" si="4"/>
        <v>0.09</v>
      </c>
      <c r="P12" s="15">
        <f t="shared" si="5"/>
        <v>0.03</v>
      </c>
      <c r="Q12" s="15">
        <f t="shared" si="0"/>
        <v>0.12</v>
      </c>
      <c r="R12" s="15">
        <f t="shared" si="6"/>
        <v>0.12</v>
      </c>
    </row>
    <row r="13" spans="1:18" ht="15.6">
      <c r="A13" s="53"/>
      <c r="B13" s="11" t="s">
        <v>18</v>
      </c>
      <c r="C13" s="75">
        <v>0.08</v>
      </c>
      <c r="D13" s="66">
        <v>3</v>
      </c>
      <c r="E13" s="66">
        <v>5</v>
      </c>
      <c r="F13" s="66">
        <v>5</v>
      </c>
      <c r="G13" s="66">
        <v>4</v>
      </c>
      <c r="H13" s="66">
        <v>4</v>
      </c>
      <c r="I13" s="66">
        <v>5</v>
      </c>
      <c r="J13" s="66">
        <v>3</v>
      </c>
      <c r="K13" s="14"/>
      <c r="L13" s="15">
        <f t="shared" si="1"/>
        <v>0.24</v>
      </c>
      <c r="M13" s="15">
        <f t="shared" si="2"/>
        <v>0.4</v>
      </c>
      <c r="N13" s="15">
        <f t="shared" si="3"/>
        <v>0.4</v>
      </c>
      <c r="O13" s="15">
        <f t="shared" si="4"/>
        <v>0.32</v>
      </c>
      <c r="P13" s="15">
        <f t="shared" si="5"/>
        <v>0.32</v>
      </c>
      <c r="Q13" s="15">
        <f t="shared" si="0"/>
        <v>0.4</v>
      </c>
      <c r="R13" s="15">
        <f t="shared" si="6"/>
        <v>0.24</v>
      </c>
    </row>
    <row r="14" spans="1:18" ht="15.6">
      <c r="A14" s="53"/>
      <c r="B14" s="11" t="s">
        <v>19</v>
      </c>
      <c r="C14" s="75">
        <v>0.05</v>
      </c>
      <c r="D14" s="66">
        <v>3</v>
      </c>
      <c r="E14" s="66">
        <v>5</v>
      </c>
      <c r="F14" s="66">
        <v>5</v>
      </c>
      <c r="G14" s="66">
        <v>4</v>
      </c>
      <c r="H14" s="66">
        <v>2</v>
      </c>
      <c r="I14" s="66">
        <v>2</v>
      </c>
      <c r="J14" s="66">
        <v>5</v>
      </c>
      <c r="K14" s="14"/>
      <c r="L14" s="15">
        <f t="shared" si="1"/>
        <v>0.15000000000000002</v>
      </c>
      <c r="M14" s="15">
        <f>E14*$C14</f>
        <v>0.25</v>
      </c>
      <c r="N14" s="15">
        <f t="shared" si="3"/>
        <v>0.25</v>
      </c>
      <c r="O14" s="15">
        <f t="shared" si="4"/>
        <v>0.2</v>
      </c>
      <c r="P14" s="15">
        <f t="shared" si="5"/>
        <v>0.1</v>
      </c>
      <c r="Q14" s="15">
        <f t="shared" si="0"/>
        <v>0.1</v>
      </c>
      <c r="R14" s="15">
        <f t="shared" si="6"/>
        <v>0.25</v>
      </c>
    </row>
    <row r="15" spans="1:18" ht="15.6">
      <c r="A15" s="53"/>
      <c r="B15" s="11" t="s">
        <v>20</v>
      </c>
      <c r="C15" s="75">
        <v>0.04</v>
      </c>
      <c r="D15" s="66">
        <v>2</v>
      </c>
      <c r="E15" s="66">
        <v>5</v>
      </c>
      <c r="F15" s="66">
        <v>5</v>
      </c>
      <c r="G15" s="66">
        <v>4</v>
      </c>
      <c r="H15" s="66">
        <v>4</v>
      </c>
      <c r="I15" s="66">
        <v>4</v>
      </c>
      <c r="J15" s="66">
        <v>4</v>
      </c>
      <c r="K15" s="14"/>
      <c r="L15" s="15">
        <f t="shared" si="1"/>
        <v>0.08</v>
      </c>
      <c r="M15" s="15">
        <f t="shared" si="2"/>
        <v>0.2</v>
      </c>
      <c r="N15" s="15">
        <f t="shared" si="3"/>
        <v>0.2</v>
      </c>
      <c r="O15" s="15">
        <f t="shared" si="4"/>
        <v>0.16</v>
      </c>
      <c r="P15" s="15">
        <f t="shared" si="5"/>
        <v>0.16</v>
      </c>
      <c r="Q15" s="15">
        <f t="shared" si="0"/>
        <v>0.16</v>
      </c>
      <c r="R15" s="15">
        <f t="shared" si="6"/>
        <v>0.16</v>
      </c>
    </row>
    <row r="16" spans="1:18" ht="15.6">
      <c r="A16" s="53"/>
      <c r="B16" s="11" t="s">
        <v>21</v>
      </c>
      <c r="C16" s="75">
        <v>0.05</v>
      </c>
      <c r="D16" s="66">
        <v>4</v>
      </c>
      <c r="E16" s="66">
        <v>5</v>
      </c>
      <c r="F16" s="66">
        <v>3</v>
      </c>
      <c r="G16" s="66">
        <v>5</v>
      </c>
      <c r="H16" s="66">
        <v>3</v>
      </c>
      <c r="I16" s="66">
        <v>5</v>
      </c>
      <c r="J16" s="66">
        <v>4</v>
      </c>
      <c r="K16" s="14"/>
      <c r="L16" s="15">
        <f t="shared" si="1"/>
        <v>0.2</v>
      </c>
      <c r="M16" s="15">
        <f t="shared" si="2"/>
        <v>0.25</v>
      </c>
      <c r="N16" s="15">
        <f t="shared" si="3"/>
        <v>0.15000000000000002</v>
      </c>
      <c r="O16" s="15">
        <f t="shared" si="4"/>
        <v>0.25</v>
      </c>
      <c r="P16" s="15">
        <f t="shared" si="5"/>
        <v>0.15000000000000002</v>
      </c>
      <c r="Q16" s="15">
        <f t="shared" si="0"/>
        <v>0.25</v>
      </c>
      <c r="R16" s="15">
        <f t="shared" si="6"/>
        <v>0.2</v>
      </c>
    </row>
    <row r="17" spans="1:18" ht="15.6">
      <c r="A17" s="53"/>
      <c r="B17" s="11" t="s">
        <v>22</v>
      </c>
      <c r="C17" s="75">
        <v>0.03</v>
      </c>
      <c r="D17" s="66">
        <v>5</v>
      </c>
      <c r="E17" s="66">
        <v>4</v>
      </c>
      <c r="F17" s="66">
        <v>4</v>
      </c>
      <c r="G17" s="66">
        <v>3</v>
      </c>
      <c r="H17" s="66">
        <v>3</v>
      </c>
      <c r="I17" s="66">
        <v>3</v>
      </c>
      <c r="J17" s="66">
        <v>3</v>
      </c>
      <c r="K17" s="14"/>
      <c r="L17" s="15">
        <f t="shared" si="1"/>
        <v>0.15</v>
      </c>
      <c r="M17" s="15">
        <f t="shared" si="2"/>
        <v>0.12</v>
      </c>
      <c r="N17" s="15">
        <f t="shared" si="3"/>
        <v>0.12</v>
      </c>
      <c r="O17" s="15">
        <f t="shared" si="4"/>
        <v>0.09</v>
      </c>
      <c r="P17" s="15">
        <f t="shared" si="5"/>
        <v>0.09</v>
      </c>
      <c r="Q17" s="15">
        <f t="shared" si="0"/>
        <v>0.09</v>
      </c>
      <c r="R17" s="15">
        <f t="shared" si="6"/>
        <v>0.09</v>
      </c>
    </row>
    <row r="18" spans="1:18" ht="15.6">
      <c r="A18" s="53"/>
      <c r="B18" s="11" t="s">
        <v>23</v>
      </c>
      <c r="C18" s="75">
        <v>0.05</v>
      </c>
      <c r="D18" s="66">
        <v>4</v>
      </c>
      <c r="E18" s="66">
        <v>4</v>
      </c>
      <c r="F18" s="66">
        <v>4</v>
      </c>
      <c r="G18" s="66">
        <v>4</v>
      </c>
      <c r="H18" s="66">
        <v>4</v>
      </c>
      <c r="I18" s="66">
        <v>4</v>
      </c>
      <c r="J18" s="66">
        <v>3</v>
      </c>
      <c r="K18" s="14"/>
      <c r="L18" s="15">
        <f>D18*$C18</f>
        <v>0.2</v>
      </c>
      <c r="M18" s="15">
        <f t="shared" si="2"/>
        <v>0.2</v>
      </c>
      <c r="N18" s="15">
        <f t="shared" si="3"/>
        <v>0.2</v>
      </c>
      <c r="O18" s="15">
        <f t="shared" si="4"/>
        <v>0.2</v>
      </c>
      <c r="P18" s="15">
        <f t="shared" si="5"/>
        <v>0.2</v>
      </c>
      <c r="Q18" s="15">
        <f t="shared" si="0"/>
        <v>0.2</v>
      </c>
      <c r="R18" s="15">
        <f t="shared" si="6"/>
        <v>0.15000000000000002</v>
      </c>
    </row>
    <row r="19" spans="1:18" ht="15.6">
      <c r="A19" s="53"/>
      <c r="B19" s="11" t="s">
        <v>24</v>
      </c>
      <c r="C19" s="75">
        <v>0.04</v>
      </c>
      <c r="D19" s="66">
        <v>3</v>
      </c>
      <c r="E19" s="66">
        <v>5</v>
      </c>
      <c r="F19" s="66">
        <v>5</v>
      </c>
      <c r="G19" s="66">
        <v>5</v>
      </c>
      <c r="H19" s="66">
        <v>4</v>
      </c>
      <c r="I19" s="66">
        <v>5</v>
      </c>
      <c r="J19" s="66">
        <v>4</v>
      </c>
      <c r="K19" s="14"/>
      <c r="L19" s="15">
        <f t="shared" si="1"/>
        <v>0.12</v>
      </c>
      <c r="M19" s="15">
        <f t="shared" si="2"/>
        <v>0.2</v>
      </c>
      <c r="N19" s="15">
        <f t="shared" si="3"/>
        <v>0.2</v>
      </c>
      <c r="O19" s="15">
        <f t="shared" si="4"/>
        <v>0.2</v>
      </c>
      <c r="P19" s="15">
        <f t="shared" si="5"/>
        <v>0.16</v>
      </c>
      <c r="Q19" s="15">
        <f t="shared" si="0"/>
        <v>0.2</v>
      </c>
      <c r="R19" s="15">
        <f t="shared" si="6"/>
        <v>0.16</v>
      </c>
    </row>
    <row r="20" spans="1:18" ht="15.6">
      <c r="A20" s="53"/>
      <c r="B20" s="11" t="s">
        <v>25</v>
      </c>
      <c r="C20" s="75">
        <v>0.05</v>
      </c>
      <c r="D20" s="66">
        <v>3</v>
      </c>
      <c r="E20" s="66">
        <v>5</v>
      </c>
      <c r="F20" s="66">
        <v>5</v>
      </c>
      <c r="G20" s="66">
        <v>5</v>
      </c>
      <c r="H20" s="66">
        <v>4</v>
      </c>
      <c r="I20" s="66">
        <v>4</v>
      </c>
      <c r="J20" s="66">
        <v>4</v>
      </c>
      <c r="K20" s="14"/>
      <c r="L20" s="15">
        <f t="shared" si="1"/>
        <v>0.15000000000000002</v>
      </c>
      <c r="M20" s="15">
        <f t="shared" si="2"/>
        <v>0.25</v>
      </c>
      <c r="N20" s="15">
        <f t="shared" si="3"/>
        <v>0.25</v>
      </c>
      <c r="O20" s="15">
        <f t="shared" si="4"/>
        <v>0.25</v>
      </c>
      <c r="P20" s="15">
        <f t="shared" si="5"/>
        <v>0.2</v>
      </c>
      <c r="Q20" s="15">
        <f t="shared" si="0"/>
        <v>0.2</v>
      </c>
      <c r="R20" s="15">
        <f t="shared" si="6"/>
        <v>0.2</v>
      </c>
    </row>
    <row r="21" spans="1:18" ht="15.6">
      <c r="A21" s="53"/>
      <c r="B21" s="11" t="s">
        <v>26</v>
      </c>
      <c r="C21" s="75">
        <v>0.08</v>
      </c>
      <c r="D21" s="66">
        <v>4</v>
      </c>
      <c r="E21" s="66">
        <v>5</v>
      </c>
      <c r="F21" s="66">
        <v>5</v>
      </c>
      <c r="G21" s="66">
        <v>3</v>
      </c>
      <c r="H21" s="66">
        <v>4</v>
      </c>
      <c r="I21" s="66">
        <v>5</v>
      </c>
      <c r="J21" s="66">
        <v>3</v>
      </c>
      <c r="K21" s="14"/>
      <c r="L21" s="15">
        <f t="shared" si="1"/>
        <v>0.32</v>
      </c>
      <c r="M21" s="15">
        <f t="shared" si="2"/>
        <v>0.4</v>
      </c>
      <c r="N21" s="15">
        <f t="shared" si="3"/>
        <v>0.4</v>
      </c>
      <c r="O21" s="15">
        <f t="shared" si="4"/>
        <v>0.24</v>
      </c>
      <c r="P21" s="15">
        <f t="shared" si="5"/>
        <v>0.32</v>
      </c>
      <c r="Q21" s="15">
        <f t="shared" si="0"/>
        <v>0.4</v>
      </c>
      <c r="R21" s="15">
        <f t="shared" si="6"/>
        <v>0.24</v>
      </c>
    </row>
    <row r="22" spans="1:18" ht="15.6">
      <c r="A22" s="53"/>
      <c r="B22" s="11" t="s">
        <v>27</v>
      </c>
      <c r="C22" s="75">
        <v>0.05</v>
      </c>
      <c r="D22" s="66">
        <v>3</v>
      </c>
      <c r="E22" s="66">
        <v>5</v>
      </c>
      <c r="F22" s="66">
        <v>5</v>
      </c>
      <c r="G22" s="66">
        <v>3</v>
      </c>
      <c r="H22" s="66">
        <v>4</v>
      </c>
      <c r="I22" s="66">
        <v>4</v>
      </c>
      <c r="J22" s="66">
        <v>4</v>
      </c>
      <c r="K22" s="14"/>
      <c r="L22" s="15">
        <f t="shared" si="1"/>
        <v>0.15000000000000002</v>
      </c>
      <c r="M22" s="15">
        <f>E22*$C22</f>
        <v>0.25</v>
      </c>
      <c r="N22" s="15">
        <f t="shared" si="3"/>
        <v>0.25</v>
      </c>
      <c r="O22" s="15">
        <f t="shared" si="4"/>
        <v>0.15000000000000002</v>
      </c>
      <c r="P22" s="15">
        <f t="shared" si="5"/>
        <v>0.2</v>
      </c>
      <c r="Q22" s="15">
        <f t="shared" si="0"/>
        <v>0.2</v>
      </c>
      <c r="R22" s="15">
        <f t="shared" si="6"/>
        <v>0.2</v>
      </c>
    </row>
    <row r="23" spans="1:18" ht="15.6">
      <c r="A23" s="53"/>
      <c r="B23" s="11" t="s">
        <v>28</v>
      </c>
      <c r="C23" s="75">
        <v>0.05</v>
      </c>
      <c r="D23" s="66">
        <v>4</v>
      </c>
      <c r="E23" s="66">
        <v>5</v>
      </c>
      <c r="F23" s="66">
        <v>5</v>
      </c>
      <c r="G23" s="66">
        <v>4</v>
      </c>
      <c r="H23" s="66">
        <v>4</v>
      </c>
      <c r="I23" s="66">
        <v>4</v>
      </c>
      <c r="J23" s="66">
        <v>3</v>
      </c>
      <c r="K23" s="14"/>
      <c r="L23" s="15">
        <f>D23*$C23</f>
        <v>0.2</v>
      </c>
      <c r="M23" s="15">
        <f t="shared" si="2"/>
        <v>0.25</v>
      </c>
      <c r="N23" s="15">
        <f t="shared" si="3"/>
        <v>0.25</v>
      </c>
      <c r="O23" s="15">
        <f t="shared" si="4"/>
        <v>0.2</v>
      </c>
      <c r="P23" s="15">
        <f t="shared" si="5"/>
        <v>0.2</v>
      </c>
      <c r="Q23" s="15">
        <f t="shared" si="0"/>
        <v>0.2</v>
      </c>
      <c r="R23" s="15">
        <f t="shared" si="6"/>
        <v>0.15000000000000002</v>
      </c>
    </row>
    <row r="24" spans="1:18" ht="30.95">
      <c r="A24" s="53"/>
      <c r="B24" s="11" t="s">
        <v>29</v>
      </c>
      <c r="C24" s="75">
        <v>0.04</v>
      </c>
      <c r="D24" s="66">
        <v>4</v>
      </c>
      <c r="E24" s="66">
        <v>4</v>
      </c>
      <c r="F24" s="66">
        <v>4</v>
      </c>
      <c r="G24" s="66">
        <v>4</v>
      </c>
      <c r="H24" s="66">
        <v>4</v>
      </c>
      <c r="I24" s="66">
        <v>4</v>
      </c>
      <c r="J24" s="66">
        <v>3</v>
      </c>
      <c r="K24" s="14"/>
      <c r="L24" s="15">
        <f t="shared" si="1"/>
        <v>0.16</v>
      </c>
      <c r="M24" s="15">
        <f t="shared" si="2"/>
        <v>0.16</v>
      </c>
      <c r="N24" s="15">
        <f t="shared" si="3"/>
        <v>0.16</v>
      </c>
      <c r="O24" s="15">
        <f t="shared" si="4"/>
        <v>0.16</v>
      </c>
      <c r="P24" s="15">
        <f t="shared" si="5"/>
        <v>0.16</v>
      </c>
      <c r="Q24" s="15">
        <f t="shared" si="0"/>
        <v>0.16</v>
      </c>
      <c r="R24" s="15">
        <f t="shared" si="6"/>
        <v>0.12</v>
      </c>
    </row>
    <row r="25" spans="1:18" ht="15.6">
      <c r="A25" s="53"/>
      <c r="B25" s="11" t="s">
        <v>30</v>
      </c>
      <c r="C25" s="75">
        <v>0.03</v>
      </c>
      <c r="D25" s="66">
        <v>4</v>
      </c>
      <c r="E25" s="66">
        <v>5</v>
      </c>
      <c r="F25" s="66">
        <v>5</v>
      </c>
      <c r="G25" s="66">
        <v>3</v>
      </c>
      <c r="H25" s="66">
        <v>4</v>
      </c>
      <c r="I25" s="66">
        <v>4</v>
      </c>
      <c r="J25" s="66">
        <v>5</v>
      </c>
      <c r="K25" s="14"/>
      <c r="L25" s="15">
        <f t="shared" si="1"/>
        <v>0.12</v>
      </c>
      <c r="M25" s="15">
        <f t="shared" si="2"/>
        <v>0.15</v>
      </c>
      <c r="N25" s="15">
        <f t="shared" si="3"/>
        <v>0.15</v>
      </c>
      <c r="O25" s="15">
        <f t="shared" si="4"/>
        <v>0.09</v>
      </c>
      <c r="P25" s="15">
        <f t="shared" si="5"/>
        <v>0.12</v>
      </c>
      <c r="Q25" s="15">
        <f t="shared" si="0"/>
        <v>0.12</v>
      </c>
      <c r="R25" s="15">
        <f t="shared" si="6"/>
        <v>0.15</v>
      </c>
    </row>
    <row r="26" spans="1:18" ht="21.75" customHeight="1">
      <c r="A26" s="53"/>
      <c r="B26" s="11" t="s">
        <v>31</v>
      </c>
      <c r="C26" s="75">
        <v>0.08</v>
      </c>
      <c r="D26" s="66">
        <v>2</v>
      </c>
      <c r="E26" s="66">
        <v>5</v>
      </c>
      <c r="F26" s="66">
        <v>5</v>
      </c>
      <c r="G26" s="66">
        <v>4</v>
      </c>
      <c r="H26" s="66">
        <v>3</v>
      </c>
      <c r="I26" s="66">
        <v>4</v>
      </c>
      <c r="J26" s="66">
        <v>3</v>
      </c>
      <c r="K26" s="14"/>
      <c r="L26" s="15">
        <f t="shared" si="1"/>
        <v>0.16</v>
      </c>
      <c r="M26" s="15">
        <f t="shared" si="2"/>
        <v>0.4</v>
      </c>
      <c r="N26" s="15">
        <f t="shared" si="3"/>
        <v>0.4</v>
      </c>
      <c r="O26" s="15">
        <f t="shared" si="4"/>
        <v>0.32</v>
      </c>
      <c r="P26" s="15">
        <f t="shared" si="5"/>
        <v>0.24</v>
      </c>
      <c r="Q26" s="15">
        <f t="shared" si="0"/>
        <v>0.32</v>
      </c>
      <c r="R26" s="15">
        <f t="shared" si="6"/>
        <v>0.24</v>
      </c>
    </row>
    <row r="27" spans="1:18" ht="15.6">
      <c r="A27" s="53"/>
      <c r="B27" s="38" t="s">
        <v>32</v>
      </c>
      <c r="C27" s="14"/>
      <c r="D27" s="14">
        <f t="shared" ref="D27:J27" si="7">SUM(D8:D26)</f>
        <v>67</v>
      </c>
      <c r="E27" s="14">
        <f t="shared" si="7"/>
        <v>91</v>
      </c>
      <c r="F27" s="14">
        <f t="shared" si="7"/>
        <v>89</v>
      </c>
      <c r="G27" s="14">
        <f t="shared" si="7"/>
        <v>74</v>
      </c>
      <c r="H27" s="14">
        <f t="shared" si="7"/>
        <v>68</v>
      </c>
      <c r="I27" s="14">
        <f t="shared" si="7"/>
        <v>77</v>
      </c>
      <c r="J27" s="14">
        <f t="shared" si="7"/>
        <v>70</v>
      </c>
      <c r="K27" s="14"/>
      <c r="L27" s="17">
        <f t="shared" ref="L27:R27" si="8">SUM(L8:L26)</f>
        <v>3.47</v>
      </c>
      <c r="M27" s="17">
        <f t="shared" si="8"/>
        <v>4.8000000000000007</v>
      </c>
      <c r="N27" s="17">
        <f t="shared" si="8"/>
        <v>4.7000000000000011</v>
      </c>
      <c r="O27" s="17">
        <f t="shared" si="8"/>
        <v>3.8900000000000006</v>
      </c>
      <c r="P27" s="17">
        <f t="shared" si="8"/>
        <v>3.6500000000000012</v>
      </c>
      <c r="Q27" s="17">
        <f t="shared" si="8"/>
        <v>4.0500000000000007</v>
      </c>
      <c r="R27" s="17">
        <f t="shared" si="8"/>
        <v>3.620000000000001</v>
      </c>
    </row>
    <row r="28" spans="1:18" ht="15.6">
      <c r="A28" s="53"/>
      <c r="B28" s="18"/>
      <c r="C28" s="14"/>
      <c r="D28" s="19"/>
      <c r="E28" s="19"/>
      <c r="F28" s="19"/>
      <c r="G28" s="19"/>
      <c r="H28" s="19"/>
      <c r="I28" s="19"/>
      <c r="J28" s="19"/>
      <c r="K28" s="19"/>
      <c r="L28" s="20"/>
      <c r="M28" s="20"/>
    </row>
    <row r="29" spans="1:18" ht="17.25" customHeight="1">
      <c r="A29" s="53"/>
      <c r="B29" s="21" t="s">
        <v>33</v>
      </c>
      <c r="C29" s="76"/>
      <c r="D29" s="85" t="s">
        <v>34</v>
      </c>
      <c r="E29" s="86"/>
      <c r="F29" s="86"/>
      <c r="G29" s="86"/>
      <c r="H29" s="86"/>
      <c r="I29" s="86"/>
      <c r="J29" s="87"/>
      <c r="K29" s="45"/>
      <c r="L29" s="19"/>
      <c r="M29" s="19"/>
    </row>
    <row r="30" spans="1:18" ht="15.6">
      <c r="A30" s="53"/>
      <c r="B30" s="22"/>
      <c r="C30" s="14"/>
      <c r="D30" s="23"/>
      <c r="E30" s="23"/>
      <c r="F30" s="23"/>
      <c r="G30" s="23"/>
      <c r="H30" s="23"/>
      <c r="I30" s="23"/>
      <c r="J30" s="23"/>
      <c r="K30" s="23"/>
      <c r="L30" s="19"/>
      <c r="M30" s="19"/>
    </row>
    <row r="33" spans="3:3">
      <c r="C33" s="50"/>
    </row>
    <row r="34" spans="3:3">
      <c r="C34" s="50"/>
    </row>
    <row r="35" spans="3:3">
      <c r="C35" s="50"/>
    </row>
    <row r="36" spans="3:3">
      <c r="C36" s="50"/>
    </row>
    <row r="37" spans="3:3">
      <c r="C37" s="50"/>
    </row>
    <row r="38" spans="3:3">
      <c r="C38" s="50"/>
    </row>
    <row r="39" spans="3:3">
      <c r="C39" s="50"/>
    </row>
    <row r="40" spans="3:3">
      <c r="C40" s="50"/>
    </row>
    <row r="41" spans="3:3">
      <c r="C41" s="50"/>
    </row>
    <row r="42" spans="3:3">
      <c r="C42" s="50"/>
    </row>
    <row r="43" spans="3:3">
      <c r="C43" s="50"/>
    </row>
    <row r="44" spans="3:3">
      <c r="C44" s="50"/>
    </row>
    <row r="45" spans="3:3">
      <c r="C45" s="50"/>
    </row>
    <row r="46" spans="3:3">
      <c r="C46" s="50"/>
    </row>
  </sheetData>
  <mergeCells count="3">
    <mergeCell ref="C4:E4"/>
    <mergeCell ref="L4:R5"/>
    <mergeCell ref="D29:J29"/>
  </mergeCells>
  <pageMargins left="0.7" right="0.7" top="0.75" bottom="0.75" header="0.3" footer="0.3"/>
  <pageSetup paperSize="9" orientation="portrait"/>
  <headerFooter>
    <oddHeader>&amp;L&amp;"Calibri"&amp;10&amp;K000000 Interno&amp;1#_x000D_</oddHeader>
    <oddFooter>&amp;C_x000D_&amp;1#&amp;"Calibri"&amp;8&amp;K000000 Uso Interno - No compartir fuera de la organización.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AA3A-25DD-4EA7-981C-9E7242DE29A4}">
  <sheetPr>
    <outlinePr summaryBelow="0" summaryRight="0"/>
  </sheetPr>
  <dimension ref="A1:R34"/>
  <sheetViews>
    <sheetView showGridLines="0" tabSelected="1" zoomScale="90" zoomScaleNormal="90" workbookViewId="0">
      <selection activeCell="I14" sqref="I14"/>
    </sheetView>
  </sheetViews>
  <sheetFormatPr defaultColWidth="17.140625" defaultRowHeight="14.45"/>
  <cols>
    <col min="1" max="1" width="2.42578125" style="50" customWidth="1"/>
    <col min="2" max="2" width="50.140625" style="50" customWidth="1"/>
    <col min="3" max="3" width="8" style="73" bestFit="1" customWidth="1"/>
    <col min="4" max="4" width="12.5703125" style="50" bestFit="1" customWidth="1"/>
    <col min="5" max="6" width="13" style="50" bestFit="1" customWidth="1"/>
    <col min="7" max="7" width="13.140625" style="50" bestFit="1" customWidth="1"/>
    <col min="8" max="8" width="15.140625" style="50" bestFit="1" customWidth="1"/>
    <col min="9" max="9" width="16.5703125" style="50" customWidth="1"/>
    <col min="10" max="10" width="12.140625" style="50" bestFit="1" customWidth="1"/>
    <col min="11" max="11" width="3.140625" style="50" customWidth="1"/>
    <col min="12" max="12" width="11.140625" style="50" bestFit="1" customWidth="1"/>
    <col min="13" max="13" width="12.42578125" style="50" bestFit="1" customWidth="1"/>
    <col min="14" max="14" width="13" style="50" bestFit="1" customWidth="1"/>
    <col min="15" max="15" width="13.140625" style="50" bestFit="1" customWidth="1"/>
    <col min="16" max="16" width="15.140625" style="50" bestFit="1" customWidth="1"/>
    <col min="17" max="17" width="12.5703125" style="50" bestFit="1" customWidth="1"/>
    <col min="18" max="18" width="12.140625" style="50" bestFit="1" customWidth="1"/>
    <col min="19" max="19" width="3.42578125" style="50" customWidth="1"/>
    <col min="20" max="20" width="24.5703125" style="50" customWidth="1"/>
    <col min="21" max="26" width="15.140625" style="50" customWidth="1"/>
    <col min="27" max="16384" width="17.140625" style="50"/>
  </cols>
  <sheetData>
    <row r="1" spans="1:18" ht="9" customHeight="1">
      <c r="A1" s="53"/>
      <c r="B1" s="2"/>
      <c r="C1" s="7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8" s="51" customFormat="1" ht="7.5" customHeight="1">
      <c r="A2" s="54"/>
      <c r="C2" s="72"/>
      <c r="K2" s="54"/>
      <c r="L2" s="54"/>
      <c r="M2" s="54"/>
    </row>
    <row r="3" spans="1:18" ht="4.5" customHeight="1">
      <c r="A3" s="53"/>
      <c r="K3" s="53"/>
      <c r="M3" s="55"/>
      <c r="N3" s="51"/>
    </row>
    <row r="4" spans="1:18" ht="23.25" customHeight="1">
      <c r="A4" s="53"/>
      <c r="C4" s="80" t="s">
        <v>0</v>
      </c>
      <c r="D4" s="80"/>
      <c r="E4" s="80"/>
      <c r="F4" s="56"/>
      <c r="G4" s="56"/>
      <c r="H4" s="56"/>
      <c r="I4" s="56"/>
      <c r="J4" s="56"/>
      <c r="K4" s="53"/>
      <c r="L4" s="81" t="s">
        <v>1</v>
      </c>
      <c r="M4" s="82"/>
      <c r="N4" s="82"/>
      <c r="O4" s="82"/>
      <c r="P4" s="82"/>
      <c r="Q4" s="82"/>
      <c r="R4" s="82"/>
    </row>
    <row r="5" spans="1:18" ht="6.75" customHeight="1">
      <c r="A5" s="53"/>
      <c r="B5" s="57"/>
      <c r="C5" s="74"/>
      <c r="D5" s="58"/>
      <c r="E5" s="58"/>
      <c r="F5" s="58"/>
      <c r="G5" s="58"/>
      <c r="H5" s="58"/>
      <c r="I5" s="58"/>
      <c r="J5" s="58"/>
      <c r="K5" s="53"/>
      <c r="L5" s="83"/>
      <c r="M5" s="84"/>
      <c r="N5" s="84"/>
      <c r="O5" s="84"/>
      <c r="P5" s="84"/>
      <c r="Q5" s="84"/>
      <c r="R5" s="84"/>
    </row>
    <row r="6" spans="1:18" s="52" customFormat="1" ht="15.6">
      <c r="A6" s="59"/>
      <c r="B6" s="60" t="s">
        <v>2</v>
      </c>
      <c r="C6" s="61" t="s">
        <v>3</v>
      </c>
      <c r="D6" s="67" t="s">
        <v>4</v>
      </c>
      <c r="E6" s="67" t="s">
        <v>5</v>
      </c>
      <c r="F6" s="67" t="s">
        <v>6</v>
      </c>
      <c r="G6" s="67" t="s">
        <v>7</v>
      </c>
      <c r="H6" s="67" t="s">
        <v>8</v>
      </c>
      <c r="I6" s="67" t="s">
        <v>9</v>
      </c>
      <c r="J6" s="67" t="s">
        <v>10</v>
      </c>
      <c r="K6" s="63"/>
      <c r="L6" s="62" t="s">
        <v>4</v>
      </c>
      <c r="M6" s="62" t="s">
        <v>5</v>
      </c>
      <c r="N6" s="62" t="s">
        <v>6</v>
      </c>
      <c r="O6" s="62" t="s">
        <v>7</v>
      </c>
      <c r="P6" s="62" t="s">
        <v>8</v>
      </c>
      <c r="Q6" s="62" t="s">
        <v>11</v>
      </c>
      <c r="R6" s="62" t="s">
        <v>10</v>
      </c>
    </row>
    <row r="7" spans="1:18" ht="15.6">
      <c r="A7" s="53"/>
      <c r="B7" s="6" t="s">
        <v>12</v>
      </c>
      <c r="C7" s="68">
        <f>SUM(C8:C14)</f>
        <v>1</v>
      </c>
      <c r="D7" s="77"/>
      <c r="E7" s="77"/>
      <c r="F7" s="77"/>
      <c r="G7" s="77"/>
      <c r="H7" s="77"/>
      <c r="I7" s="77"/>
      <c r="J7" s="77"/>
      <c r="K7" s="48"/>
      <c r="L7" s="10"/>
      <c r="M7" s="10"/>
      <c r="N7" s="10"/>
      <c r="O7" s="10"/>
      <c r="P7" s="10"/>
      <c r="Q7" s="10"/>
      <c r="R7" s="10"/>
    </row>
    <row r="8" spans="1:18" ht="16.5" customHeight="1">
      <c r="A8" s="53"/>
      <c r="B8" s="11" t="s">
        <v>35</v>
      </c>
      <c r="C8" s="75">
        <v>0.15</v>
      </c>
      <c r="D8" s="66">
        <v>3</v>
      </c>
      <c r="E8" s="66">
        <v>4</v>
      </c>
      <c r="F8" s="66">
        <v>4</v>
      </c>
      <c r="G8" s="66">
        <v>4</v>
      </c>
      <c r="H8" s="66">
        <v>4</v>
      </c>
      <c r="I8" s="66">
        <v>4</v>
      </c>
      <c r="J8" s="66">
        <v>3</v>
      </c>
      <c r="K8" s="14"/>
      <c r="L8" s="15">
        <f>D8*$C8</f>
        <v>0.44999999999999996</v>
      </c>
      <c r="M8" s="15">
        <f>E8*$C8</f>
        <v>0.6</v>
      </c>
      <c r="N8" s="15">
        <f>F8*$C8</f>
        <v>0.6</v>
      </c>
      <c r="O8" s="15">
        <f>G8*$C8</f>
        <v>0.6</v>
      </c>
      <c r="P8" s="15">
        <f>H8*$C8</f>
        <v>0.6</v>
      </c>
      <c r="Q8" s="15">
        <f t="shared" ref="Q8:R14" si="0">I8*$C8</f>
        <v>0.6</v>
      </c>
      <c r="R8" s="15">
        <f>J8*$C8</f>
        <v>0.44999999999999996</v>
      </c>
    </row>
    <row r="9" spans="1:18" ht="15.6">
      <c r="A9" s="53"/>
      <c r="B9" s="11" t="s">
        <v>36</v>
      </c>
      <c r="C9" s="75">
        <v>0.2</v>
      </c>
      <c r="D9" s="66">
        <v>4</v>
      </c>
      <c r="E9" s="66">
        <v>5</v>
      </c>
      <c r="F9" s="66">
        <v>5</v>
      </c>
      <c r="G9" s="66">
        <v>3</v>
      </c>
      <c r="H9" s="66">
        <v>4</v>
      </c>
      <c r="I9" s="66">
        <v>5</v>
      </c>
      <c r="J9" s="66">
        <v>2</v>
      </c>
      <c r="K9" s="14"/>
      <c r="L9" s="15">
        <f t="shared" ref="L9:P14" si="1">D9*$C9</f>
        <v>0.8</v>
      </c>
      <c r="M9" s="15">
        <f t="shared" si="1"/>
        <v>1</v>
      </c>
      <c r="N9" s="15">
        <f t="shared" si="1"/>
        <v>1</v>
      </c>
      <c r="O9" s="15">
        <f t="shared" si="1"/>
        <v>0.60000000000000009</v>
      </c>
      <c r="P9" s="15">
        <f t="shared" si="1"/>
        <v>0.8</v>
      </c>
      <c r="Q9" s="15">
        <f t="shared" si="0"/>
        <v>1</v>
      </c>
      <c r="R9" s="15">
        <f t="shared" si="0"/>
        <v>0.4</v>
      </c>
    </row>
    <row r="10" spans="1:18" ht="15.6">
      <c r="A10" s="53"/>
      <c r="B10" s="11" t="s">
        <v>37</v>
      </c>
      <c r="C10" s="75">
        <v>0.1</v>
      </c>
      <c r="D10" s="66">
        <v>3</v>
      </c>
      <c r="E10" s="66">
        <v>4</v>
      </c>
      <c r="F10" s="66">
        <v>4</v>
      </c>
      <c r="G10" s="66">
        <v>4</v>
      </c>
      <c r="H10" s="66">
        <v>3</v>
      </c>
      <c r="I10" s="66">
        <v>4</v>
      </c>
      <c r="J10" s="66">
        <v>3</v>
      </c>
      <c r="K10" s="14"/>
      <c r="L10" s="15">
        <f t="shared" si="1"/>
        <v>0.30000000000000004</v>
      </c>
      <c r="M10" s="15">
        <f>E10*$C10</f>
        <v>0.4</v>
      </c>
      <c r="N10" s="15">
        <f t="shared" si="1"/>
        <v>0.4</v>
      </c>
      <c r="O10" s="15">
        <f t="shared" si="1"/>
        <v>0.4</v>
      </c>
      <c r="P10" s="15">
        <f t="shared" si="1"/>
        <v>0.30000000000000004</v>
      </c>
      <c r="Q10" s="15">
        <f t="shared" si="0"/>
        <v>0.4</v>
      </c>
      <c r="R10" s="15">
        <f t="shared" si="0"/>
        <v>0.30000000000000004</v>
      </c>
    </row>
    <row r="11" spans="1:18" ht="15.6">
      <c r="A11" s="53"/>
      <c r="B11" s="11" t="s">
        <v>38</v>
      </c>
      <c r="C11" s="75">
        <v>0.15</v>
      </c>
      <c r="D11" s="66">
        <v>2</v>
      </c>
      <c r="E11" s="66">
        <v>4</v>
      </c>
      <c r="F11" s="66">
        <v>4</v>
      </c>
      <c r="G11" s="66">
        <v>3</v>
      </c>
      <c r="H11" s="66">
        <v>3</v>
      </c>
      <c r="I11" s="66">
        <v>4</v>
      </c>
      <c r="J11" s="66">
        <v>3</v>
      </c>
      <c r="K11" s="14"/>
      <c r="L11" s="15">
        <f t="shared" si="1"/>
        <v>0.3</v>
      </c>
      <c r="M11" s="15">
        <f t="shared" si="1"/>
        <v>0.6</v>
      </c>
      <c r="N11" s="15">
        <f t="shared" si="1"/>
        <v>0.6</v>
      </c>
      <c r="O11" s="15">
        <f t="shared" si="1"/>
        <v>0.44999999999999996</v>
      </c>
      <c r="P11" s="15">
        <f t="shared" si="1"/>
        <v>0.44999999999999996</v>
      </c>
      <c r="Q11" s="15">
        <f t="shared" si="0"/>
        <v>0.6</v>
      </c>
      <c r="R11" s="15">
        <f t="shared" si="0"/>
        <v>0.44999999999999996</v>
      </c>
    </row>
    <row r="12" spans="1:18" ht="15.6">
      <c r="A12" s="53"/>
      <c r="B12" s="11" t="s">
        <v>39</v>
      </c>
      <c r="C12" s="75">
        <v>0.15</v>
      </c>
      <c r="D12" s="66">
        <v>3</v>
      </c>
      <c r="E12" s="66">
        <v>4</v>
      </c>
      <c r="F12" s="66">
        <v>4</v>
      </c>
      <c r="G12" s="66">
        <v>3</v>
      </c>
      <c r="H12" s="66">
        <v>3</v>
      </c>
      <c r="I12" s="66">
        <v>4</v>
      </c>
      <c r="J12" s="66">
        <v>3</v>
      </c>
      <c r="K12" s="14"/>
      <c r="L12" s="15">
        <f>D12*$C12</f>
        <v>0.44999999999999996</v>
      </c>
      <c r="M12" s="15">
        <f t="shared" si="1"/>
        <v>0.6</v>
      </c>
      <c r="N12" s="15">
        <f t="shared" si="1"/>
        <v>0.6</v>
      </c>
      <c r="O12" s="15">
        <f t="shared" si="1"/>
        <v>0.44999999999999996</v>
      </c>
      <c r="P12" s="15">
        <f t="shared" si="1"/>
        <v>0.44999999999999996</v>
      </c>
      <c r="Q12" s="15">
        <f t="shared" si="0"/>
        <v>0.6</v>
      </c>
      <c r="R12" s="15">
        <f t="shared" si="0"/>
        <v>0.44999999999999996</v>
      </c>
    </row>
    <row r="13" spans="1:18" ht="30.95">
      <c r="A13" s="53"/>
      <c r="B13" s="11" t="s">
        <v>40</v>
      </c>
      <c r="C13" s="75">
        <v>0.15</v>
      </c>
      <c r="D13" s="66">
        <v>3</v>
      </c>
      <c r="E13" s="66">
        <v>5</v>
      </c>
      <c r="F13" s="66">
        <v>5</v>
      </c>
      <c r="G13" s="66">
        <v>3</v>
      </c>
      <c r="H13" s="66">
        <v>4</v>
      </c>
      <c r="I13" s="66">
        <v>5</v>
      </c>
      <c r="J13" s="66">
        <v>3</v>
      </c>
      <c r="K13" s="14"/>
      <c r="L13" s="15">
        <f t="shared" si="1"/>
        <v>0.44999999999999996</v>
      </c>
      <c r="M13" s="15">
        <f t="shared" si="1"/>
        <v>0.75</v>
      </c>
      <c r="N13" s="15">
        <f t="shared" si="1"/>
        <v>0.75</v>
      </c>
      <c r="O13" s="15">
        <f t="shared" si="1"/>
        <v>0.44999999999999996</v>
      </c>
      <c r="P13" s="15">
        <f t="shared" si="1"/>
        <v>0.6</v>
      </c>
      <c r="Q13" s="15">
        <f t="shared" si="0"/>
        <v>0.75</v>
      </c>
      <c r="R13" s="15">
        <f t="shared" si="0"/>
        <v>0.44999999999999996</v>
      </c>
    </row>
    <row r="14" spans="1:18" ht="15.6">
      <c r="A14" s="53"/>
      <c r="B14" s="11" t="s">
        <v>41</v>
      </c>
      <c r="C14" s="75">
        <v>0.1</v>
      </c>
      <c r="D14" s="66">
        <v>3</v>
      </c>
      <c r="E14" s="66">
        <v>4</v>
      </c>
      <c r="F14" s="66">
        <v>4</v>
      </c>
      <c r="G14" s="66">
        <v>3</v>
      </c>
      <c r="H14" s="66">
        <v>3</v>
      </c>
      <c r="I14" s="66">
        <v>3</v>
      </c>
      <c r="J14" s="66">
        <v>3</v>
      </c>
      <c r="K14" s="14"/>
      <c r="L14" s="15">
        <f t="shared" si="1"/>
        <v>0.30000000000000004</v>
      </c>
      <c r="M14" s="15">
        <f>E14*$C14</f>
        <v>0.4</v>
      </c>
      <c r="N14" s="15">
        <f t="shared" si="1"/>
        <v>0.4</v>
      </c>
      <c r="O14" s="15">
        <f t="shared" si="1"/>
        <v>0.30000000000000004</v>
      </c>
      <c r="P14" s="15">
        <f t="shared" si="1"/>
        <v>0.30000000000000004</v>
      </c>
      <c r="Q14" s="15">
        <f t="shared" si="0"/>
        <v>0.30000000000000004</v>
      </c>
      <c r="R14" s="15">
        <f t="shared" si="0"/>
        <v>0.30000000000000004</v>
      </c>
    </row>
    <row r="15" spans="1:18" ht="15.6">
      <c r="A15" s="53"/>
      <c r="B15" s="38" t="s">
        <v>32</v>
      </c>
      <c r="C15" s="14"/>
      <c r="D15" s="14">
        <f>SUM(D8:D14)</f>
        <v>21</v>
      </c>
      <c r="E15" s="14">
        <f>SUM(E8:E14)</f>
        <v>30</v>
      </c>
      <c r="F15" s="14">
        <f>SUM(F8:F14)</f>
        <v>30</v>
      </c>
      <c r="G15" s="14">
        <f>SUM(G8:G14)</f>
        <v>23</v>
      </c>
      <c r="H15" s="14">
        <f>SUM(H8:H14)</f>
        <v>24</v>
      </c>
      <c r="I15" s="14">
        <f>SUM(I8:I14)</f>
        <v>29</v>
      </c>
      <c r="J15" s="14">
        <f>SUM(J8:J14)</f>
        <v>20</v>
      </c>
      <c r="K15" s="14"/>
      <c r="L15" s="17">
        <f>SUM(L8:L14)</f>
        <v>3.05</v>
      </c>
      <c r="M15" s="17">
        <f>SUM(M8:M14)</f>
        <v>4.3500000000000005</v>
      </c>
      <c r="N15" s="17">
        <f>SUM(N8:N14)</f>
        <v>4.3500000000000005</v>
      </c>
      <c r="O15" s="17">
        <f>SUM(O8:O14)</f>
        <v>3.25</v>
      </c>
      <c r="P15" s="17">
        <f>SUM(P8:P14)</f>
        <v>3.5</v>
      </c>
      <c r="Q15" s="17">
        <f>SUM(Q8:Q14)</f>
        <v>4.25</v>
      </c>
      <c r="R15" s="17">
        <f>SUM(R8:R14)</f>
        <v>2.8</v>
      </c>
    </row>
    <row r="16" spans="1:18" ht="15.6">
      <c r="A16" s="53"/>
      <c r="B16" s="18"/>
      <c r="C16" s="14"/>
      <c r="D16" s="19"/>
      <c r="E16" s="19"/>
      <c r="F16" s="19"/>
      <c r="G16" s="19"/>
      <c r="H16" s="19"/>
      <c r="I16" s="19"/>
      <c r="J16" s="19"/>
      <c r="K16" s="19"/>
      <c r="L16" s="20"/>
      <c r="M16" s="20"/>
    </row>
    <row r="17" spans="1:13" ht="17.25" customHeight="1">
      <c r="A17" s="53"/>
      <c r="B17" s="21" t="s">
        <v>33</v>
      </c>
      <c r="C17" s="76"/>
      <c r="D17" s="85" t="s">
        <v>34</v>
      </c>
      <c r="E17" s="86"/>
      <c r="F17" s="86"/>
      <c r="G17" s="86"/>
      <c r="H17" s="86"/>
      <c r="I17" s="86"/>
      <c r="J17" s="87"/>
      <c r="K17" s="45"/>
      <c r="L17" s="19"/>
      <c r="M17" s="19"/>
    </row>
    <row r="18" spans="1:13" ht="15.6">
      <c r="A18" s="53"/>
      <c r="B18" s="22"/>
      <c r="C18" s="14"/>
      <c r="D18" s="23"/>
      <c r="E18" s="23"/>
      <c r="F18" s="23"/>
      <c r="G18" s="23"/>
      <c r="H18" s="23"/>
      <c r="I18" s="23"/>
      <c r="J18" s="23"/>
      <c r="K18" s="23"/>
      <c r="L18" s="19"/>
      <c r="M18" s="19"/>
    </row>
    <row r="21" spans="1:13">
      <c r="C21" s="50"/>
    </row>
    <row r="22" spans="1:13">
      <c r="C22" s="50"/>
    </row>
    <row r="23" spans="1:13">
      <c r="C23" s="50"/>
    </row>
    <row r="24" spans="1:13">
      <c r="C24" s="50"/>
    </row>
    <row r="25" spans="1:13">
      <c r="C25" s="50"/>
    </row>
    <row r="26" spans="1:13">
      <c r="C26" s="50"/>
    </row>
    <row r="27" spans="1:13">
      <c r="C27" s="50"/>
    </row>
    <row r="28" spans="1:13">
      <c r="C28" s="50"/>
    </row>
    <row r="29" spans="1:13">
      <c r="C29" s="50"/>
    </row>
    <row r="30" spans="1:13">
      <c r="C30" s="50"/>
    </row>
    <row r="31" spans="1:13">
      <c r="C31" s="50"/>
    </row>
    <row r="32" spans="1:13">
      <c r="C32" s="50"/>
    </row>
    <row r="33" spans="3:3">
      <c r="C33" s="50"/>
    </row>
    <row r="34" spans="3:3">
      <c r="C34" s="50"/>
    </row>
  </sheetData>
  <mergeCells count="3">
    <mergeCell ref="C4:E4"/>
    <mergeCell ref="L4:R5"/>
    <mergeCell ref="D17:J17"/>
  </mergeCells>
  <pageMargins left="0.7" right="0.7" top="0.75" bottom="0.75" header="0.3" footer="0.3"/>
  <pageSetup paperSize="9" orientation="portrait" r:id="rId1"/>
  <headerFooter>
    <oddHeader>&amp;L&amp;"Calibri"&amp;10&amp;K000000 Interno&amp;1#_x000D_</oddHeader>
    <oddFooter>&amp;C_x000D_&amp;1#&amp;"Calibri"&amp;8&amp;K000000 Uso Interno - No compartir fuera de la organización.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5C08-4143-41DB-9FC8-AF229989A148}">
  <dimension ref="A2:C17"/>
  <sheetViews>
    <sheetView topLeftCell="A4" workbookViewId="0">
      <selection activeCell="B3" sqref="B3"/>
    </sheetView>
  </sheetViews>
  <sheetFormatPr defaultColWidth="8.85546875" defaultRowHeight="14.45"/>
  <cols>
    <col min="2" max="2" width="38.140625" customWidth="1"/>
    <col min="3" max="3" width="83.140625" customWidth="1"/>
  </cols>
  <sheetData>
    <row r="2" spans="1:3">
      <c r="A2" s="60" t="s">
        <v>42</v>
      </c>
      <c r="B2" s="60" t="s">
        <v>43</v>
      </c>
      <c r="C2" s="60" t="s">
        <v>44</v>
      </c>
    </row>
    <row r="3" spans="1:3" s="64" customFormat="1" ht="50.25" customHeight="1">
      <c r="A3" s="64">
        <v>1</v>
      </c>
      <c r="B3" s="64" t="s">
        <v>13</v>
      </c>
      <c r="C3" s="65" t="s">
        <v>45</v>
      </c>
    </row>
    <row r="4" spans="1:3" ht="29.1">
      <c r="A4" s="64">
        <v>2</v>
      </c>
      <c r="B4" s="64" t="s">
        <v>14</v>
      </c>
      <c r="C4" s="65" t="s">
        <v>46</v>
      </c>
    </row>
    <row r="5" spans="1:3" ht="29.1">
      <c r="A5" s="64">
        <v>3</v>
      </c>
      <c r="B5" s="64" t="s">
        <v>15</v>
      </c>
      <c r="C5" s="65" t="s">
        <v>47</v>
      </c>
    </row>
    <row r="6" spans="1:3" ht="29.1">
      <c r="A6" s="64">
        <v>4</v>
      </c>
      <c r="B6" s="64" t="s">
        <v>16</v>
      </c>
      <c r="C6" s="65" t="s">
        <v>48</v>
      </c>
    </row>
    <row r="7" spans="1:3" ht="29.1">
      <c r="A7" s="64">
        <v>5</v>
      </c>
      <c r="B7" s="64" t="s">
        <v>17</v>
      </c>
      <c r="C7" s="65" t="s">
        <v>49</v>
      </c>
    </row>
    <row r="8" spans="1:3" ht="29.1">
      <c r="A8" s="64">
        <v>6</v>
      </c>
      <c r="B8" s="64" t="s">
        <v>18</v>
      </c>
      <c r="C8" s="65" t="s">
        <v>50</v>
      </c>
    </row>
    <row r="9" spans="1:3" ht="29.1">
      <c r="A9" s="64">
        <v>7</v>
      </c>
      <c r="B9" s="64" t="s">
        <v>19</v>
      </c>
      <c r="C9" s="65" t="s">
        <v>51</v>
      </c>
    </row>
    <row r="10" spans="1:3" ht="29.1">
      <c r="A10" s="64">
        <v>8</v>
      </c>
      <c r="B10" s="64" t="s">
        <v>20</v>
      </c>
      <c r="C10" s="65" t="s">
        <v>52</v>
      </c>
    </row>
    <row r="11" spans="1:3" ht="29.1">
      <c r="A11" s="64">
        <v>9</v>
      </c>
      <c r="B11" s="64" t="s">
        <v>21</v>
      </c>
      <c r="C11" s="65" t="s">
        <v>53</v>
      </c>
    </row>
    <row r="12" spans="1:3" ht="29.1">
      <c r="A12" s="64">
        <v>10</v>
      </c>
      <c r="B12" s="64" t="s">
        <v>22</v>
      </c>
      <c r="C12" s="65" t="s">
        <v>54</v>
      </c>
    </row>
    <row r="13" spans="1:3" ht="29.1">
      <c r="A13" s="64">
        <v>11</v>
      </c>
      <c r="B13" s="64" t="s">
        <v>23</v>
      </c>
      <c r="C13" s="65" t="s">
        <v>55</v>
      </c>
    </row>
    <row r="14" spans="1:3" ht="29.1">
      <c r="A14" s="64">
        <v>12</v>
      </c>
      <c r="B14" s="64" t="s">
        <v>25</v>
      </c>
      <c r="C14" s="65" t="s">
        <v>56</v>
      </c>
    </row>
    <row r="15" spans="1:3" ht="29.1">
      <c r="A15" s="64">
        <v>13</v>
      </c>
      <c r="B15" s="64" t="s">
        <v>26</v>
      </c>
      <c r="C15" s="65" t="s">
        <v>57</v>
      </c>
    </row>
    <row r="16" spans="1:3" ht="29.1">
      <c r="A16" s="64">
        <v>14</v>
      </c>
      <c r="B16" s="64" t="s">
        <v>28</v>
      </c>
      <c r="C16" s="65" t="s">
        <v>58</v>
      </c>
    </row>
    <row r="17" spans="1:3" ht="29.1">
      <c r="A17" s="64">
        <v>15</v>
      </c>
      <c r="B17" s="64" t="s">
        <v>31</v>
      </c>
      <c r="C17" s="65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6181-C83A-4B10-B018-D61787A8F7AD}">
  <dimension ref="A1:H17"/>
  <sheetViews>
    <sheetView showGridLines="0" zoomScale="115" zoomScaleNormal="115" workbookViewId="0">
      <selection activeCell="A9" sqref="A9"/>
    </sheetView>
  </sheetViews>
  <sheetFormatPr defaultColWidth="9.140625" defaultRowHeight="14.45"/>
  <cols>
    <col min="1" max="1" width="107.85546875" bestFit="1" customWidth="1"/>
    <col min="2" max="2" width="15.42578125" bestFit="1" customWidth="1"/>
    <col min="3" max="3" width="8" bestFit="1" customWidth="1"/>
    <col min="4" max="5" width="36.5703125" bestFit="1" customWidth="1"/>
    <col min="6" max="6" width="28.5703125" bestFit="1" customWidth="1"/>
  </cols>
  <sheetData>
    <row r="1" spans="1:8" ht="18.600000000000001">
      <c r="A1" s="103" t="s">
        <v>60</v>
      </c>
      <c r="B1" s="103"/>
      <c r="C1" s="103"/>
      <c r="D1" s="103"/>
      <c r="E1" s="103"/>
      <c r="F1" s="103"/>
      <c r="G1" s="103"/>
      <c r="H1" s="103"/>
    </row>
    <row r="3" spans="1:8">
      <c r="A3" s="40" t="s">
        <v>61</v>
      </c>
    </row>
    <row r="4" spans="1:8">
      <c r="A4" s="41" t="s">
        <v>62</v>
      </c>
      <c r="B4" s="41" t="s">
        <v>63</v>
      </c>
      <c r="C4" s="41" t="s">
        <v>64</v>
      </c>
      <c r="D4" s="41" t="s">
        <v>65</v>
      </c>
      <c r="E4" s="41" t="s">
        <v>66</v>
      </c>
      <c r="F4" s="41" t="s">
        <v>67</v>
      </c>
    </row>
    <row r="5" spans="1:8">
      <c r="B5" s="42"/>
      <c r="C5" s="43"/>
      <c r="D5" s="44"/>
    </row>
    <row r="6" spans="1:8">
      <c r="B6" s="42"/>
      <c r="C6" s="43"/>
      <c r="D6" s="44"/>
    </row>
    <row r="7" spans="1:8">
      <c r="B7" s="42"/>
      <c r="C7" s="43"/>
      <c r="D7" s="44"/>
      <c r="E7" s="44"/>
    </row>
    <row r="8" spans="1:8">
      <c r="B8" s="42"/>
      <c r="C8" s="43"/>
      <c r="D8" s="44"/>
      <c r="E8" s="44"/>
    </row>
    <row r="9" spans="1:8">
      <c r="B9" s="42"/>
      <c r="C9" s="43"/>
      <c r="D9" s="44"/>
      <c r="E9" s="44"/>
    </row>
    <row r="10" spans="1:8">
      <c r="B10" s="42"/>
      <c r="C10" s="43"/>
      <c r="D10" s="44"/>
      <c r="E10" s="44"/>
    </row>
    <row r="12" spans="1:8">
      <c r="A12" s="40" t="s">
        <v>68</v>
      </c>
    </row>
    <row r="13" spans="1:8">
      <c r="A13" s="41" t="s">
        <v>69</v>
      </c>
      <c r="B13" s="41" t="s">
        <v>63</v>
      </c>
      <c r="C13" s="41" t="s">
        <v>64</v>
      </c>
      <c r="D13" s="41" t="s">
        <v>65</v>
      </c>
      <c r="E13" s="41" t="s">
        <v>66</v>
      </c>
      <c r="F13" s="41" t="s">
        <v>67</v>
      </c>
    </row>
    <row r="14" spans="1:8">
      <c r="B14" s="42"/>
      <c r="C14" s="43"/>
      <c r="D14" s="44"/>
    </row>
    <row r="15" spans="1:8">
      <c r="B15" s="42"/>
      <c r="C15" s="43"/>
    </row>
    <row r="17" spans="1:1">
      <c r="A17" s="40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2978-022D-4A14-91EE-906539A3E832}">
  <sheetPr>
    <outlinePr summaryBelow="0" summaryRight="0"/>
  </sheetPr>
  <dimension ref="A1:L41"/>
  <sheetViews>
    <sheetView showGridLines="0" topLeftCell="A5" zoomScale="85" zoomScaleNormal="85" workbookViewId="0">
      <selection activeCell="I26" sqref="I26"/>
    </sheetView>
  </sheetViews>
  <sheetFormatPr defaultColWidth="17.140625" defaultRowHeight="14.45"/>
  <cols>
    <col min="1" max="1" width="2.42578125" style="4" customWidth="1"/>
    <col min="2" max="2" width="43.42578125" style="4" customWidth="1"/>
    <col min="3" max="3" width="8" style="4" bestFit="1" customWidth="1"/>
    <col min="4" max="4" width="14.140625" style="4" customWidth="1"/>
    <col min="5" max="5" width="12.140625" style="4" bestFit="1" customWidth="1"/>
    <col min="6" max="6" width="13.85546875" style="4" customWidth="1"/>
    <col min="7" max="7" width="3.140625" style="4" customWidth="1"/>
    <col min="8" max="10" width="17.85546875" style="4" customWidth="1"/>
    <col min="11" max="23" width="15.140625" style="4" customWidth="1"/>
    <col min="24" max="16384" width="17.140625" style="4"/>
  </cols>
  <sheetData>
    <row r="1" spans="1:12" ht="11.25" customHeight="1">
      <c r="A1" s="3"/>
      <c r="B1" s="2"/>
      <c r="C1" s="1"/>
      <c r="D1" s="1"/>
      <c r="E1" s="1"/>
      <c r="F1" s="1"/>
      <c r="G1" s="1"/>
      <c r="H1" s="1"/>
      <c r="I1" s="1"/>
      <c r="J1" s="1"/>
    </row>
    <row r="2" spans="1:12" s="30" customFormat="1" ht="7.5" customHeight="1">
      <c r="A2" s="29"/>
      <c r="F2" s="29"/>
      <c r="G2" s="29"/>
      <c r="H2" s="29"/>
      <c r="I2" s="29"/>
      <c r="J2" s="29"/>
    </row>
    <row r="3" spans="1:12" ht="3.75" hidden="1" customHeight="1">
      <c r="A3" s="3"/>
      <c r="F3" s="3"/>
      <c r="G3" s="3"/>
      <c r="I3" s="31"/>
      <c r="J3" s="31"/>
      <c r="K3" s="30"/>
    </row>
    <row r="4" spans="1:12" ht="25.5" customHeight="1">
      <c r="A4" s="3"/>
      <c r="C4" s="92" t="s">
        <v>70</v>
      </c>
      <c r="D4" s="92"/>
      <c r="E4" s="92"/>
      <c r="F4" s="3"/>
      <c r="G4" s="3"/>
      <c r="H4" s="81" t="s">
        <v>1</v>
      </c>
      <c r="I4" s="82"/>
      <c r="J4" s="82"/>
    </row>
    <row r="5" spans="1:12" ht="25.5" customHeight="1">
      <c r="A5" s="3"/>
      <c r="B5" s="5"/>
      <c r="C5" s="32"/>
      <c r="D5" s="32"/>
      <c r="E5" s="32"/>
      <c r="F5" s="3"/>
      <c r="G5" s="3"/>
      <c r="H5" s="81"/>
      <c r="I5" s="82"/>
      <c r="J5" s="82"/>
    </row>
    <row r="6" spans="1:12" s="27" customFormat="1" ht="19.5" customHeight="1">
      <c r="A6" s="24"/>
      <c r="B6" s="99" t="s">
        <v>2</v>
      </c>
      <c r="C6" s="101" t="s">
        <v>3</v>
      </c>
      <c r="D6" s="62" t="str">
        <f>H6</f>
        <v>MICROSOFT</v>
      </c>
      <c r="E6" s="93" t="str">
        <f>I6</f>
        <v>SALESFORCE</v>
      </c>
      <c r="F6" s="93"/>
      <c r="G6" s="47"/>
      <c r="H6" s="62" t="s">
        <v>71</v>
      </c>
      <c r="I6" s="94" t="s">
        <v>72</v>
      </c>
      <c r="J6" s="95"/>
    </row>
    <row r="7" spans="1:12" s="27" customFormat="1" ht="21" customHeight="1">
      <c r="A7" s="24"/>
      <c r="B7" s="100"/>
      <c r="C7" s="102"/>
      <c r="D7" s="62" t="s">
        <v>73</v>
      </c>
      <c r="E7" s="62" t="s">
        <v>74</v>
      </c>
      <c r="F7" s="67" t="s">
        <v>75</v>
      </c>
      <c r="G7" s="47"/>
      <c r="H7" s="62" t="s">
        <v>73</v>
      </c>
      <c r="I7" s="78" t="s">
        <v>74</v>
      </c>
      <c r="J7" s="26" t="s">
        <v>75</v>
      </c>
    </row>
    <row r="8" spans="1:12" ht="15.6">
      <c r="A8" s="3"/>
      <c r="B8" s="6" t="s">
        <v>12</v>
      </c>
      <c r="C8" s="70">
        <f>SUM(C9:C23)</f>
        <v>1.0000000000000002</v>
      </c>
      <c r="D8" s="89"/>
      <c r="E8" s="90"/>
      <c r="F8" s="91"/>
      <c r="G8" s="48"/>
      <c r="H8" s="96"/>
      <c r="I8" s="97"/>
      <c r="J8" s="98"/>
    </row>
    <row r="9" spans="1:12" ht="15.6">
      <c r="A9" s="3"/>
      <c r="B9" s="11" t="s">
        <v>76</v>
      </c>
      <c r="C9" s="69">
        <v>0.08</v>
      </c>
      <c r="D9" s="49">
        <v>5</v>
      </c>
      <c r="E9" s="49">
        <v>5</v>
      </c>
      <c r="F9" s="66">
        <v>5</v>
      </c>
      <c r="G9" s="14"/>
      <c r="H9" s="15">
        <f t="shared" ref="H9:H16" si="0">D9*$C9</f>
        <v>0.4</v>
      </c>
      <c r="I9" s="15">
        <f t="shared" ref="I9:I23" si="1">E9*$C9</f>
        <v>0.4</v>
      </c>
      <c r="J9" s="79">
        <f t="shared" ref="J9:J23" si="2">F9*$C9</f>
        <v>0.4</v>
      </c>
      <c r="L9" s="16"/>
    </row>
    <row r="10" spans="1:12" ht="15.6">
      <c r="A10" s="3"/>
      <c r="B10" s="11" t="s">
        <v>77</v>
      </c>
      <c r="C10" s="69">
        <v>0.05</v>
      </c>
      <c r="D10" s="49">
        <v>0</v>
      </c>
      <c r="E10" s="49">
        <v>0</v>
      </c>
      <c r="F10" s="49">
        <v>3</v>
      </c>
      <c r="G10" s="14"/>
      <c r="H10" s="15">
        <f t="shared" si="0"/>
        <v>0</v>
      </c>
      <c r="I10" s="15">
        <f t="shared" si="1"/>
        <v>0</v>
      </c>
      <c r="J10" s="15">
        <f t="shared" si="2"/>
        <v>0.15000000000000002</v>
      </c>
      <c r="L10" s="16"/>
    </row>
    <row r="11" spans="1:12" ht="15.6">
      <c r="A11" s="3"/>
      <c r="B11" s="11" t="s">
        <v>78</v>
      </c>
      <c r="C11" s="69">
        <v>0.05</v>
      </c>
      <c r="D11" s="49">
        <v>3</v>
      </c>
      <c r="E11" s="49">
        <v>3</v>
      </c>
      <c r="F11" s="49">
        <v>5</v>
      </c>
      <c r="G11" s="14"/>
      <c r="H11" s="15">
        <f t="shared" si="0"/>
        <v>0.15000000000000002</v>
      </c>
      <c r="I11" s="15">
        <f t="shared" si="1"/>
        <v>0.15000000000000002</v>
      </c>
      <c r="J11" s="15">
        <f t="shared" si="2"/>
        <v>0.25</v>
      </c>
      <c r="L11" s="16"/>
    </row>
    <row r="12" spans="1:12" ht="15.6">
      <c r="A12" s="3"/>
      <c r="B12" s="11" t="s">
        <v>79</v>
      </c>
      <c r="C12" s="69">
        <v>0.1</v>
      </c>
      <c r="D12" s="49">
        <v>4</v>
      </c>
      <c r="E12" s="49">
        <v>5</v>
      </c>
      <c r="F12" s="49">
        <v>5</v>
      </c>
      <c r="G12" s="14"/>
      <c r="H12" s="15">
        <f t="shared" si="0"/>
        <v>0.4</v>
      </c>
      <c r="I12" s="15">
        <f t="shared" si="1"/>
        <v>0.5</v>
      </c>
      <c r="J12" s="15">
        <f t="shared" si="2"/>
        <v>0.5</v>
      </c>
      <c r="L12" s="16"/>
    </row>
    <row r="13" spans="1:12" ht="15.6">
      <c r="A13" s="3"/>
      <c r="B13" s="11" t="s">
        <v>80</v>
      </c>
      <c r="C13" s="69">
        <v>0.11</v>
      </c>
      <c r="D13" s="49">
        <v>4</v>
      </c>
      <c r="E13" s="49">
        <v>4</v>
      </c>
      <c r="F13" s="49">
        <v>4</v>
      </c>
      <c r="G13" s="14"/>
      <c r="H13" s="15">
        <f t="shared" si="0"/>
        <v>0.44</v>
      </c>
      <c r="I13" s="15">
        <f t="shared" si="1"/>
        <v>0.44</v>
      </c>
      <c r="J13" s="15">
        <f t="shared" si="2"/>
        <v>0.44</v>
      </c>
      <c r="L13" s="16"/>
    </row>
    <row r="14" spans="1:12" ht="15.6">
      <c r="A14" s="3"/>
      <c r="B14" s="11" t="s">
        <v>81</v>
      </c>
      <c r="C14" s="69">
        <v>0.12</v>
      </c>
      <c r="D14" s="49">
        <v>3</v>
      </c>
      <c r="E14" s="49">
        <v>4</v>
      </c>
      <c r="F14" s="49">
        <v>4</v>
      </c>
      <c r="G14" s="14"/>
      <c r="H14" s="15">
        <f t="shared" si="0"/>
        <v>0.36</v>
      </c>
      <c r="I14" s="15">
        <f t="shared" si="1"/>
        <v>0.48</v>
      </c>
      <c r="J14" s="15">
        <f t="shared" si="2"/>
        <v>0.48</v>
      </c>
      <c r="L14" s="16"/>
    </row>
    <row r="15" spans="1:12" ht="15.6">
      <c r="A15" s="3"/>
      <c r="B15" s="11" t="s">
        <v>82</v>
      </c>
      <c r="C15" s="69">
        <v>0.08</v>
      </c>
      <c r="D15" s="49">
        <v>3</v>
      </c>
      <c r="E15" s="49">
        <v>4</v>
      </c>
      <c r="F15" s="49">
        <v>4</v>
      </c>
      <c r="G15" s="14"/>
      <c r="H15" s="15">
        <f t="shared" si="0"/>
        <v>0.24</v>
      </c>
      <c r="I15" s="15">
        <f t="shared" si="1"/>
        <v>0.32</v>
      </c>
      <c r="J15" s="15">
        <f t="shared" si="2"/>
        <v>0.32</v>
      </c>
      <c r="L15" s="16"/>
    </row>
    <row r="16" spans="1:12" ht="15.6">
      <c r="A16" s="3"/>
      <c r="B16" s="11" t="s">
        <v>83</v>
      </c>
      <c r="C16" s="69">
        <v>0.08</v>
      </c>
      <c r="D16" s="49">
        <v>5</v>
      </c>
      <c r="E16" s="49">
        <v>4</v>
      </c>
      <c r="F16" s="49">
        <v>4</v>
      </c>
      <c r="G16" s="14"/>
      <c r="H16" s="15">
        <f t="shared" si="0"/>
        <v>0.4</v>
      </c>
      <c r="I16" s="15">
        <f t="shared" si="1"/>
        <v>0.32</v>
      </c>
      <c r="J16" s="15">
        <f t="shared" si="2"/>
        <v>0.32</v>
      </c>
      <c r="L16" s="16"/>
    </row>
    <row r="17" spans="1:12" ht="15.6">
      <c r="A17" s="3"/>
      <c r="B17" s="11" t="s">
        <v>84</v>
      </c>
      <c r="C17" s="69">
        <v>0.05</v>
      </c>
      <c r="D17" s="49">
        <v>4</v>
      </c>
      <c r="E17" s="49">
        <v>4</v>
      </c>
      <c r="F17" s="49">
        <v>4</v>
      </c>
      <c r="G17" s="14"/>
      <c r="H17" s="15">
        <f t="shared" ref="H17:H22" si="3">D17*$C17</f>
        <v>0.2</v>
      </c>
      <c r="I17" s="15">
        <f t="shared" si="1"/>
        <v>0.2</v>
      </c>
      <c r="J17" s="15">
        <f t="shared" si="2"/>
        <v>0.2</v>
      </c>
      <c r="L17" s="16"/>
    </row>
    <row r="18" spans="1:12" ht="15.6">
      <c r="A18" s="3"/>
      <c r="B18" s="11" t="s">
        <v>85</v>
      </c>
      <c r="C18" s="69">
        <v>0.06</v>
      </c>
      <c r="D18" s="49">
        <v>3</v>
      </c>
      <c r="E18" s="49">
        <v>5</v>
      </c>
      <c r="F18" s="49">
        <v>4</v>
      </c>
      <c r="G18" s="14"/>
      <c r="H18" s="15">
        <f t="shared" si="3"/>
        <v>0.18</v>
      </c>
      <c r="I18" s="15">
        <f t="shared" si="1"/>
        <v>0.3</v>
      </c>
      <c r="J18" s="15">
        <f t="shared" si="2"/>
        <v>0.24</v>
      </c>
      <c r="L18" s="16"/>
    </row>
    <row r="19" spans="1:12" ht="15.6">
      <c r="A19" s="3"/>
      <c r="B19" s="11" t="s">
        <v>86</v>
      </c>
      <c r="C19" s="69">
        <v>7.0000000000000007E-2</v>
      </c>
      <c r="D19" s="49">
        <v>4</v>
      </c>
      <c r="E19" s="49">
        <v>4</v>
      </c>
      <c r="F19" s="49">
        <v>4</v>
      </c>
      <c r="G19" s="14"/>
      <c r="H19" s="15">
        <f>D19*$C19</f>
        <v>0.28000000000000003</v>
      </c>
      <c r="I19" s="15">
        <f t="shared" si="1"/>
        <v>0.28000000000000003</v>
      </c>
      <c r="J19" s="15">
        <f t="shared" si="2"/>
        <v>0.28000000000000003</v>
      </c>
      <c r="L19" s="16"/>
    </row>
    <row r="20" spans="1:12" ht="15.6">
      <c r="A20" s="3"/>
      <c r="B20" s="11" t="s">
        <v>87</v>
      </c>
      <c r="C20" s="69">
        <v>0.05</v>
      </c>
      <c r="D20" s="49">
        <v>4</v>
      </c>
      <c r="E20" s="49">
        <v>4</v>
      </c>
      <c r="F20" s="49">
        <v>4</v>
      </c>
      <c r="G20" s="14"/>
      <c r="H20" s="15">
        <f t="shared" si="3"/>
        <v>0.2</v>
      </c>
      <c r="I20" s="15">
        <f t="shared" si="1"/>
        <v>0.2</v>
      </c>
      <c r="J20" s="15">
        <f t="shared" si="2"/>
        <v>0.2</v>
      </c>
      <c r="L20" s="16"/>
    </row>
    <row r="21" spans="1:12" ht="15.6">
      <c r="A21" s="3"/>
      <c r="B21" s="11" t="s">
        <v>88</v>
      </c>
      <c r="C21" s="69">
        <v>0.05</v>
      </c>
      <c r="D21" s="49">
        <v>4</v>
      </c>
      <c r="E21" s="49">
        <v>3</v>
      </c>
      <c r="F21" s="49">
        <v>4</v>
      </c>
      <c r="G21" s="14"/>
      <c r="H21" s="15">
        <f t="shared" si="3"/>
        <v>0.2</v>
      </c>
      <c r="I21" s="15">
        <f t="shared" si="1"/>
        <v>0.15000000000000002</v>
      </c>
      <c r="J21" s="15">
        <f t="shared" si="2"/>
        <v>0.2</v>
      </c>
      <c r="L21" s="16"/>
    </row>
    <row r="22" spans="1:12" ht="15.6">
      <c r="A22" s="3"/>
      <c r="B22" s="11" t="s">
        <v>89</v>
      </c>
      <c r="C22" s="69">
        <v>0.03</v>
      </c>
      <c r="D22" s="49">
        <v>3</v>
      </c>
      <c r="E22" s="49">
        <v>4</v>
      </c>
      <c r="F22" s="49">
        <v>5</v>
      </c>
      <c r="G22" s="14"/>
      <c r="H22" s="15">
        <f t="shared" si="3"/>
        <v>0.09</v>
      </c>
      <c r="I22" s="15">
        <f t="shared" si="1"/>
        <v>0.12</v>
      </c>
      <c r="J22" s="15">
        <f t="shared" si="2"/>
        <v>0.15</v>
      </c>
      <c r="L22" s="16"/>
    </row>
    <row r="23" spans="1:12" ht="15.6">
      <c r="A23" s="3"/>
      <c r="B23" s="11" t="s">
        <v>90</v>
      </c>
      <c r="C23" s="69">
        <v>0.02</v>
      </c>
      <c r="D23" s="49">
        <v>3</v>
      </c>
      <c r="E23" s="49">
        <v>4</v>
      </c>
      <c r="F23" s="49">
        <v>4</v>
      </c>
      <c r="G23" s="14"/>
      <c r="H23" s="15">
        <f>D23*$C23</f>
        <v>0.06</v>
      </c>
      <c r="I23" s="15">
        <f t="shared" si="1"/>
        <v>0.08</v>
      </c>
      <c r="J23" s="15">
        <f t="shared" si="2"/>
        <v>0.08</v>
      </c>
      <c r="L23" s="16"/>
    </row>
    <row r="24" spans="1:12" ht="15.6">
      <c r="A24" s="3"/>
      <c r="B24" s="38" t="s">
        <v>32</v>
      </c>
      <c r="C24" s="35"/>
      <c r="D24" s="14"/>
      <c r="E24" s="14"/>
      <c r="F24" s="14"/>
      <c r="G24" s="14"/>
      <c r="H24" s="17">
        <f t="shared" ref="H24" si="4">SUM(H9:H23)</f>
        <v>3.600000000000001</v>
      </c>
      <c r="I24" s="17">
        <f>SUM(I9:I23)</f>
        <v>3.94</v>
      </c>
      <c r="J24" s="17">
        <f>SUM(J9:J23)</f>
        <v>4.2100000000000009</v>
      </c>
    </row>
    <row r="25" spans="1:12" ht="15.6">
      <c r="A25" s="3"/>
      <c r="B25" s="18"/>
      <c r="C25" s="19"/>
      <c r="D25" s="19"/>
      <c r="E25" s="19"/>
      <c r="F25" s="19"/>
      <c r="G25" s="19"/>
      <c r="H25" s="20"/>
      <c r="I25" s="20"/>
      <c r="J25" s="20"/>
    </row>
    <row r="26" spans="1:12" ht="31.5" customHeight="1">
      <c r="A26" s="3"/>
      <c r="B26" s="21" t="s">
        <v>33</v>
      </c>
      <c r="C26" s="46"/>
      <c r="D26" s="88" t="s">
        <v>34</v>
      </c>
      <c r="E26" s="88"/>
      <c r="F26" s="88"/>
      <c r="G26" s="45"/>
      <c r="H26" s="19"/>
      <c r="I26" s="19"/>
      <c r="J26" s="19"/>
    </row>
    <row r="27" spans="1:12" ht="15.6">
      <c r="A27" s="3"/>
      <c r="B27" s="22"/>
      <c r="C27" s="22"/>
      <c r="D27" s="23"/>
      <c r="E27" s="23"/>
      <c r="F27" s="23"/>
      <c r="G27" s="23"/>
      <c r="H27" s="19"/>
      <c r="I27" s="19"/>
      <c r="J27" s="19"/>
    </row>
    <row r="33" spans="2:7" ht="15.6">
      <c r="B33" s="25" t="s">
        <v>91</v>
      </c>
      <c r="C33" s="28" t="s">
        <v>3</v>
      </c>
      <c r="D33" s="26" t="s">
        <v>71</v>
      </c>
      <c r="E33" s="26" t="s">
        <v>72</v>
      </c>
    </row>
    <row r="34" spans="2:7" ht="15.6">
      <c r="B34" s="6" t="s">
        <v>12</v>
      </c>
      <c r="C34" s="7">
        <f>SUM(C35:C40)</f>
        <v>0</v>
      </c>
      <c r="D34" s="8"/>
      <c r="E34" s="9"/>
    </row>
    <row r="35" spans="2:7" ht="15.6">
      <c r="B35" s="11" t="s">
        <v>92</v>
      </c>
      <c r="C35" s="12"/>
      <c r="D35" s="13"/>
      <c r="E35" s="13"/>
    </row>
    <row r="36" spans="2:7" ht="15.6">
      <c r="B36" s="11" t="s">
        <v>92</v>
      </c>
      <c r="C36" s="12"/>
      <c r="D36" s="13"/>
      <c r="E36" s="13"/>
    </row>
    <row r="37" spans="2:7" ht="15.6">
      <c r="B37" s="11" t="s">
        <v>92</v>
      </c>
      <c r="C37" s="12"/>
      <c r="D37" s="13"/>
      <c r="E37" s="13"/>
    </row>
    <row r="38" spans="2:7" ht="15.6">
      <c r="B38" s="11" t="s">
        <v>92</v>
      </c>
      <c r="C38" s="12"/>
      <c r="D38" s="13"/>
      <c r="E38" s="13"/>
    </row>
    <row r="39" spans="2:7" ht="15.6">
      <c r="B39" s="11" t="s">
        <v>92</v>
      </c>
      <c r="C39" s="33"/>
      <c r="D39" s="34"/>
      <c r="E39" s="34"/>
      <c r="F39" s="14"/>
      <c r="G39" s="14"/>
    </row>
    <row r="40" spans="2:7" ht="15.6">
      <c r="B40" s="11" t="s">
        <v>92</v>
      </c>
      <c r="C40" s="36"/>
      <c r="D40" s="37"/>
      <c r="E40" s="37"/>
      <c r="F40" s="14"/>
      <c r="G40" s="14"/>
    </row>
    <row r="41" spans="2:7" ht="15.6">
      <c r="B41" s="39" t="s">
        <v>32</v>
      </c>
      <c r="C41" s="35"/>
      <c r="D41" s="14"/>
      <c r="E41" s="14"/>
      <c r="F41" s="14"/>
      <c r="G41" s="14"/>
    </row>
  </sheetData>
  <mergeCells count="9">
    <mergeCell ref="B6:B7"/>
    <mergeCell ref="C6:C7"/>
    <mergeCell ref="D26:F26"/>
    <mergeCell ref="D8:F8"/>
    <mergeCell ref="C4:E4"/>
    <mergeCell ref="E6:F6"/>
    <mergeCell ref="I6:J6"/>
    <mergeCell ref="H4:J5"/>
    <mergeCell ref="H8:J8"/>
  </mergeCells>
  <pageMargins left="0.7" right="0.7" top="0.75" bottom="0.75" header="0.3" footer="0.3"/>
  <pageSetup paperSize="9" orientation="portrait" r:id="rId1"/>
  <headerFooter>
    <oddHeader>&amp;L&amp;"Calibri"&amp;10&amp;K000000 Interno&amp;1#_x000D_</oddHeader>
    <oddFooter>&amp;C_x000D_&amp;1#&amp;"Calibri"&amp;8&amp;K000000 Uso Interno - No compartir fuera de la organización.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3D2F-EA78-482A-A33A-3921C47052A7}">
  <dimension ref="A1"/>
  <sheetViews>
    <sheetView showGridLines="0" workbookViewId="0"/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162C12E8477C4DB70869B9AB482741" ma:contentTypeVersion="9" ma:contentTypeDescription="Crear nuevo documento." ma:contentTypeScope="" ma:versionID="095079bd9afaf5ca553e209987151d7b">
  <xsd:schema xmlns:xsd="http://www.w3.org/2001/XMLSchema" xmlns:xs="http://www.w3.org/2001/XMLSchema" xmlns:p="http://schemas.microsoft.com/office/2006/metadata/properties" xmlns:ns2="e5528989-fabc-4a07-b830-57a8a0f5ecd5" targetNamespace="http://schemas.microsoft.com/office/2006/metadata/properties" ma:root="true" ma:fieldsID="79eb77063d248bb6ec4c4e515e76f5bf" ns2:_="">
    <xsd:import namespace="e5528989-fabc-4a07-b830-57a8a0f5ec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28989-fabc-4a07-b830-57a8a0f5e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93ba224-6a42-47cf-994a-bd0f2c22a1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528989-fabc-4a07-b830-57a8a0f5ec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294DAE-BC1F-4988-BFBE-B95D51F9FAF3}"/>
</file>

<file path=customXml/itemProps2.xml><?xml version="1.0" encoding="utf-8"?>
<ds:datastoreItem xmlns:ds="http://schemas.openxmlformats.org/officeDocument/2006/customXml" ds:itemID="{04A8202B-4FD4-4FD5-A833-5FEC71EC5B30}"/>
</file>

<file path=customXml/itemProps3.xml><?xml version="1.0" encoding="utf-8"?>
<ds:datastoreItem xmlns:ds="http://schemas.openxmlformats.org/officeDocument/2006/customXml" ds:itemID="{A58FA32F-918B-4677-890A-4D4ABE0A7DE2}"/>
</file>

<file path=docMetadata/LabelInfo.xml><?xml version="1.0" encoding="utf-8"?>
<clbl:labelList xmlns:clbl="http://schemas.microsoft.com/office/2020/mipLabelMetadata">
  <clbl:label id="{83661b87-7810-4813-8bd9-dd2ee6a65052}" enabled="1" method="Standard" siteId="{223943b3-0f38-442c-90e3-00f9c3b6b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VICENTE VALLEJO PEZUELA</dc:creator>
  <cp:keywords/>
  <dc:description/>
  <cp:lastModifiedBy/>
  <cp:revision/>
  <dcterms:created xsi:type="dcterms:W3CDTF">2025-10-23T16:10:53Z</dcterms:created>
  <dcterms:modified xsi:type="dcterms:W3CDTF">2026-04-21T09:51:53Z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0x010100E9162C12E8477C4DB70869B9AB482741</vt:lpwstr>
  </property>
  <property fmtid="{D5CDD505-2E9C-101B-9397-08002B2CF9AE}" pid="3" name="MediaServiceImageTags">
    <vt:lpwstr/>
  </property>
</Properties>
</file>